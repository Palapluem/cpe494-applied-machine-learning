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45" windowWidth="19440" windowHeight="12240"/>
  </bookViews>
  <sheets>
    <sheet name="AI" sheetId="3" r:id="rId1"/>
  </sheets>
  <calcPr calcId="124519"/>
</workbook>
</file>

<file path=xl/calcChain.xml><?xml version="1.0" encoding="utf-8"?>
<calcChain xmlns="http://schemas.openxmlformats.org/spreadsheetml/2006/main">
  <c r="AG13" i="3"/>
  <c r="AE16"/>
  <c r="AE15"/>
  <c r="AE14"/>
  <c r="AE13"/>
  <c r="AD16"/>
  <c r="AD15"/>
  <c r="AD14"/>
  <c r="AD13"/>
  <c r="AC16"/>
  <c r="AC15"/>
  <c r="AC14"/>
  <c r="AC13"/>
  <c r="AA16"/>
  <c r="AA15"/>
  <c r="AA14"/>
  <c r="AA13"/>
  <c r="Z16"/>
  <c r="Z15"/>
  <c r="Z14"/>
  <c r="Z13"/>
  <c r="Y13"/>
  <c r="W16"/>
  <c r="W15"/>
  <c r="W14"/>
  <c r="W13"/>
  <c r="V16"/>
  <c r="V15"/>
  <c r="V14"/>
  <c r="V13"/>
  <c r="T17"/>
  <c r="T16"/>
  <c r="T15"/>
  <c r="T14"/>
  <c r="T13"/>
  <c r="S13"/>
  <c r="V21"/>
  <c r="W28"/>
  <c r="W25"/>
  <c r="W21"/>
  <c r="W17"/>
  <c r="T20"/>
  <c r="T19"/>
  <c r="T18"/>
  <c r="AB16"/>
  <c r="AB15"/>
  <c r="AB14"/>
  <c r="AB13"/>
  <c r="U16"/>
  <c r="U15"/>
  <c r="U14"/>
  <c r="U13"/>
  <c r="AG16"/>
  <c r="AX16" s="1"/>
  <c r="AG15"/>
  <c r="AG14"/>
  <c r="CA11"/>
  <c r="BX11"/>
  <c r="CD10"/>
  <c r="BV9"/>
  <c r="BR7"/>
  <c r="CD4"/>
  <c r="CA4"/>
  <c r="CE3"/>
  <c r="BU3"/>
  <c r="AX13" l="1"/>
  <c r="AG52" l="1"/>
  <c r="AX52" s="1"/>
  <c r="AG51"/>
  <c r="AX51" s="1"/>
  <c r="AG50"/>
  <c r="AX50" s="1"/>
  <c r="AG49"/>
  <c r="AF52"/>
  <c r="AW52" s="1"/>
  <c r="AF51"/>
  <c r="AW51" s="1"/>
  <c r="AF50"/>
  <c r="AW50" s="1"/>
  <c r="AF49"/>
  <c r="AE52"/>
  <c r="AV52" s="1"/>
  <c r="AE51"/>
  <c r="AV51" s="1"/>
  <c r="AE50"/>
  <c r="AV50" s="1"/>
  <c r="AE49"/>
  <c r="AD52"/>
  <c r="AU52" s="1"/>
  <c r="AD51"/>
  <c r="AU51" s="1"/>
  <c r="AD50"/>
  <c r="AU50" s="1"/>
  <c r="AD49"/>
  <c r="AC52"/>
  <c r="AT52" s="1"/>
  <c r="AC51"/>
  <c r="AT51" s="1"/>
  <c r="AC50"/>
  <c r="AT50" s="1"/>
  <c r="AC49"/>
  <c r="AA52"/>
  <c r="AR52" s="1"/>
  <c r="AA51"/>
  <c r="AR51" s="1"/>
  <c r="AA50"/>
  <c r="AR50" s="1"/>
  <c r="AA49"/>
  <c r="Z49"/>
  <c r="Z52"/>
  <c r="AQ52" s="1"/>
  <c r="Z51"/>
  <c r="AQ51" s="1"/>
  <c r="Z50"/>
  <c r="AQ50" s="1"/>
  <c r="W52"/>
  <c r="AN52" s="1"/>
  <c r="W51"/>
  <c r="AN51" s="1"/>
  <c r="W50"/>
  <c r="AN50" s="1"/>
  <c r="W49"/>
  <c r="X52"/>
  <c r="AO52" s="1"/>
  <c r="X51"/>
  <c r="AO51" s="1"/>
  <c r="X50"/>
  <c r="AO50" s="1"/>
  <c r="X49"/>
  <c r="V52"/>
  <c r="AM52" s="1"/>
  <c r="V51"/>
  <c r="AM51" s="1"/>
  <c r="V50"/>
  <c r="AM50" s="1"/>
  <c r="V49"/>
  <c r="U52"/>
  <c r="AL52" s="1"/>
  <c r="U51"/>
  <c r="AL51" s="1"/>
  <c r="U50"/>
  <c r="AL50" s="1"/>
  <c r="U49"/>
  <c r="T52"/>
  <c r="AK52" s="1"/>
  <c r="S52"/>
  <c r="AJ52" s="1"/>
  <c r="T51"/>
  <c r="AK51" s="1"/>
  <c r="T50"/>
  <c r="AK50" s="1"/>
  <c r="T49"/>
  <c r="S51"/>
  <c r="AJ51" s="1"/>
  <c r="S50"/>
  <c r="AJ50" s="1"/>
  <c r="S49"/>
  <c r="AG48"/>
  <c r="AX48" s="1"/>
  <c r="AG47"/>
  <c r="AX47" s="1"/>
  <c r="AG46"/>
  <c r="AX46" s="1"/>
  <c r="AG45"/>
  <c r="AD48"/>
  <c r="AU48" s="1"/>
  <c r="AD47"/>
  <c r="AU47" s="1"/>
  <c r="AD46"/>
  <c r="AU46" s="1"/>
  <c r="AD45"/>
  <c r="AC48"/>
  <c r="AT48" s="1"/>
  <c r="AC47"/>
  <c r="AT47" s="1"/>
  <c r="AC46"/>
  <c r="AT46" s="1"/>
  <c r="AC45"/>
  <c r="AB48"/>
  <c r="AS48" s="1"/>
  <c r="AA48"/>
  <c r="AR48" s="1"/>
  <c r="AB47"/>
  <c r="AS47" s="1"/>
  <c r="AA47"/>
  <c r="AR47" s="1"/>
  <c r="AB46"/>
  <c r="AS46" s="1"/>
  <c r="AA46"/>
  <c r="AR46" s="1"/>
  <c r="AB45"/>
  <c r="AA45"/>
  <c r="Z45"/>
  <c r="Z48"/>
  <c r="AQ48" s="1"/>
  <c r="Z47"/>
  <c r="AQ47" s="1"/>
  <c r="Z46"/>
  <c r="AQ46" s="1"/>
  <c r="Y48"/>
  <c r="AP48" s="1"/>
  <c r="Y47"/>
  <c r="AP47" s="1"/>
  <c r="Y46"/>
  <c r="AP46" s="1"/>
  <c r="Y45"/>
  <c r="X45"/>
  <c r="X48"/>
  <c r="AO48" s="1"/>
  <c r="X47"/>
  <c r="AO47" s="1"/>
  <c r="X46"/>
  <c r="AO46" s="1"/>
  <c r="V48"/>
  <c r="AM48" s="1"/>
  <c r="V47"/>
  <c r="AM47" s="1"/>
  <c r="V46"/>
  <c r="AM46" s="1"/>
  <c r="V45"/>
  <c r="U48"/>
  <c r="AL48" s="1"/>
  <c r="U47"/>
  <c r="AL47" s="1"/>
  <c r="U46"/>
  <c r="AL46" s="1"/>
  <c r="U45"/>
  <c r="T48"/>
  <c r="AK48" s="1"/>
  <c r="T47"/>
  <c r="AK47" s="1"/>
  <c r="T46"/>
  <c r="AK46" s="1"/>
  <c r="T45"/>
  <c r="S48"/>
  <c r="AJ48" s="1"/>
  <c r="S47"/>
  <c r="AJ47" s="1"/>
  <c r="S46"/>
  <c r="AJ46" s="1"/>
  <c r="S45"/>
  <c r="AF44"/>
  <c r="AW44" s="1"/>
  <c r="AF43"/>
  <c r="AW43" s="1"/>
  <c r="AF42"/>
  <c r="AW42" s="1"/>
  <c r="AF41"/>
  <c r="AG44"/>
  <c r="AX44" s="1"/>
  <c r="AG43"/>
  <c r="AX43" s="1"/>
  <c r="AG42"/>
  <c r="AX42" s="1"/>
  <c r="AG41"/>
  <c r="AE44"/>
  <c r="AV44" s="1"/>
  <c r="AE43"/>
  <c r="AV43" s="1"/>
  <c r="AE42"/>
  <c r="AV42" s="1"/>
  <c r="AE41"/>
  <c r="AD44"/>
  <c r="AU44" s="1"/>
  <c r="AD43"/>
  <c r="AU43" s="1"/>
  <c r="AD42"/>
  <c r="AU42" s="1"/>
  <c r="AD41"/>
  <c r="AB44"/>
  <c r="AS44" s="1"/>
  <c r="AB43"/>
  <c r="AS43" s="1"/>
  <c r="AB42"/>
  <c r="AS42" s="1"/>
  <c r="AB41"/>
  <c r="AA44"/>
  <c r="AR44" s="1"/>
  <c r="AA43"/>
  <c r="AR43" s="1"/>
  <c r="AA42"/>
  <c r="AR42" s="1"/>
  <c r="AA41"/>
  <c r="Y44"/>
  <c r="AP44" s="1"/>
  <c r="Y43"/>
  <c r="AP43" s="1"/>
  <c r="Y42"/>
  <c r="AP42" s="1"/>
  <c r="Y41"/>
  <c r="Z44"/>
  <c r="AQ44" s="1"/>
  <c r="Z43"/>
  <c r="AQ43" s="1"/>
  <c r="Z42"/>
  <c r="AQ42" s="1"/>
  <c r="Z41"/>
  <c r="X41"/>
  <c r="X44"/>
  <c r="AO44" s="1"/>
  <c r="X43"/>
  <c r="AO43" s="1"/>
  <c r="X42"/>
  <c r="AO42" s="1"/>
  <c r="V44"/>
  <c r="AM44" s="1"/>
  <c r="V43"/>
  <c r="AM43" s="1"/>
  <c r="V42"/>
  <c r="AM42" s="1"/>
  <c r="V41"/>
  <c r="U44"/>
  <c r="AL44" s="1"/>
  <c r="U43"/>
  <c r="AL43" s="1"/>
  <c r="U42"/>
  <c r="AL42" s="1"/>
  <c r="U41"/>
  <c r="AG40"/>
  <c r="AX40" s="1"/>
  <c r="AG39"/>
  <c r="AX39" s="1"/>
  <c r="AG38"/>
  <c r="AX38" s="1"/>
  <c r="AG37"/>
  <c r="AF40"/>
  <c r="AW40" s="1"/>
  <c r="AF39"/>
  <c r="AW39" s="1"/>
  <c r="AF38"/>
  <c r="AW38" s="1"/>
  <c r="AF37"/>
  <c r="AE40"/>
  <c r="AV40" s="1"/>
  <c r="AE39"/>
  <c r="AV39" s="1"/>
  <c r="AE38"/>
  <c r="AV38" s="1"/>
  <c r="AE37"/>
  <c r="AB40"/>
  <c r="AS40" s="1"/>
  <c r="AB39"/>
  <c r="AS39" s="1"/>
  <c r="AB38"/>
  <c r="AS38" s="1"/>
  <c r="AB37"/>
  <c r="Z40"/>
  <c r="AQ40" s="1"/>
  <c r="Z39"/>
  <c r="AQ39" s="1"/>
  <c r="Z38"/>
  <c r="AQ38" s="1"/>
  <c r="Z37"/>
  <c r="AA40"/>
  <c r="AR40" s="1"/>
  <c r="AA39"/>
  <c r="AR39" s="1"/>
  <c r="AA38"/>
  <c r="AR38" s="1"/>
  <c r="AA37"/>
  <c r="Y40"/>
  <c r="AP40" s="1"/>
  <c r="X40"/>
  <c r="AO40" s="1"/>
  <c r="Y39"/>
  <c r="AP39" s="1"/>
  <c r="X39"/>
  <c r="AO39" s="1"/>
  <c r="Y38"/>
  <c r="AP38" s="1"/>
  <c r="X38"/>
  <c r="AO38" s="1"/>
  <c r="Y37"/>
  <c r="X37"/>
  <c r="W37"/>
  <c r="W40"/>
  <c r="AN40" s="1"/>
  <c r="W39"/>
  <c r="AN39" s="1"/>
  <c r="W38"/>
  <c r="AN38" s="1"/>
  <c r="V40"/>
  <c r="AM40" s="1"/>
  <c r="V39"/>
  <c r="AM39" s="1"/>
  <c r="V38"/>
  <c r="AM38" s="1"/>
  <c r="V37"/>
  <c r="U40"/>
  <c r="AL40" s="1"/>
  <c r="U39"/>
  <c r="AL39" s="1"/>
  <c r="U38"/>
  <c r="AL38" s="1"/>
  <c r="U37"/>
  <c r="T40"/>
  <c r="AK40" s="1"/>
  <c r="T39"/>
  <c r="AK39" s="1"/>
  <c r="T38"/>
  <c r="AK38" s="1"/>
  <c r="T37"/>
  <c r="S40"/>
  <c r="AJ40" s="1"/>
  <c r="S39"/>
  <c r="AJ39" s="1"/>
  <c r="S38"/>
  <c r="AJ38" s="1"/>
  <c r="S37"/>
  <c r="AG36"/>
  <c r="AX36" s="1"/>
  <c r="AG35"/>
  <c r="AX35" s="1"/>
  <c r="AG34"/>
  <c r="AX34" s="1"/>
  <c r="AG33"/>
  <c r="AF33"/>
  <c r="AE36"/>
  <c r="AV36" s="1"/>
  <c r="AE35"/>
  <c r="AV35" s="1"/>
  <c r="AE34"/>
  <c r="AV34" s="1"/>
  <c r="AE33"/>
  <c r="AD36"/>
  <c r="AU36" s="1"/>
  <c r="AD35"/>
  <c r="AU35" s="1"/>
  <c r="AD34"/>
  <c r="AU34" s="1"/>
  <c r="AD33"/>
  <c r="AC36"/>
  <c r="AT36" s="1"/>
  <c r="AC35"/>
  <c r="AT35" s="1"/>
  <c r="AC34"/>
  <c r="AT34" s="1"/>
  <c r="AC33"/>
  <c r="AB34"/>
  <c r="AS34" s="1"/>
  <c r="AF36"/>
  <c r="AW36" s="1"/>
  <c r="AF35"/>
  <c r="AW35" s="1"/>
  <c r="AF34"/>
  <c r="AW34" s="1"/>
  <c r="AA36"/>
  <c r="AR36" s="1"/>
  <c r="AA35"/>
  <c r="AR35" s="1"/>
  <c r="AA34"/>
  <c r="AR34" s="1"/>
  <c r="AA33"/>
  <c r="AB36"/>
  <c r="AS36" s="1"/>
  <c r="AB35"/>
  <c r="AS35" s="1"/>
  <c r="AB33"/>
  <c r="Y36"/>
  <c r="AP36" s="1"/>
  <c r="Y35"/>
  <c r="AP35" s="1"/>
  <c r="Y34"/>
  <c r="AP34" s="1"/>
  <c r="Y33"/>
  <c r="X36"/>
  <c r="AO36" s="1"/>
  <c r="X35"/>
  <c r="AO35" s="1"/>
  <c r="X34"/>
  <c r="AO34" s="1"/>
  <c r="X33"/>
  <c r="W36"/>
  <c r="AN36" s="1"/>
  <c r="W35"/>
  <c r="AN35" s="1"/>
  <c r="W34"/>
  <c r="AN34" s="1"/>
  <c r="W33"/>
  <c r="V36"/>
  <c r="AM36" s="1"/>
  <c r="V35"/>
  <c r="AM35" s="1"/>
  <c r="V34"/>
  <c r="AM34" s="1"/>
  <c r="V33"/>
  <c r="U36"/>
  <c r="AL36" s="1"/>
  <c r="U35"/>
  <c r="AL35" s="1"/>
  <c r="U34"/>
  <c r="AL34" s="1"/>
  <c r="U33"/>
  <c r="T36"/>
  <c r="AK36" s="1"/>
  <c r="T35"/>
  <c r="AK35" s="1"/>
  <c r="T34"/>
  <c r="AK34" s="1"/>
  <c r="T33"/>
  <c r="AG32"/>
  <c r="AX32" s="1"/>
  <c r="AG31"/>
  <c r="AX31" s="1"/>
  <c r="AG30"/>
  <c r="AX30" s="1"/>
  <c r="AG29"/>
  <c r="AF32"/>
  <c r="AW32" s="1"/>
  <c r="AF31"/>
  <c r="AW31" s="1"/>
  <c r="AF30"/>
  <c r="AW30" s="1"/>
  <c r="AF29"/>
  <c r="AD29"/>
  <c r="AE32"/>
  <c r="AV32" s="1"/>
  <c r="AD32"/>
  <c r="AU32" s="1"/>
  <c r="AE31"/>
  <c r="AV31" s="1"/>
  <c r="AD31"/>
  <c r="AU31" s="1"/>
  <c r="AE30"/>
  <c r="AV30" s="1"/>
  <c r="AD30"/>
  <c r="AU30" s="1"/>
  <c r="AE29"/>
  <c r="AC32"/>
  <c r="AT32" s="1"/>
  <c r="AB32"/>
  <c r="AS32" s="1"/>
  <c r="AC31"/>
  <c r="AT31" s="1"/>
  <c r="AB31"/>
  <c r="AS31" s="1"/>
  <c r="AC30"/>
  <c r="AT30" s="1"/>
  <c r="AB30"/>
  <c r="AS30" s="1"/>
  <c r="AC29"/>
  <c r="AB29"/>
  <c r="AA32"/>
  <c r="AR32" s="1"/>
  <c r="AA31"/>
  <c r="AR31" s="1"/>
  <c r="AA30"/>
  <c r="AR30" s="1"/>
  <c r="AA29"/>
  <c r="Y32"/>
  <c r="AP32" s="1"/>
  <c r="Y31"/>
  <c r="AP31" s="1"/>
  <c r="Y30"/>
  <c r="AP30" s="1"/>
  <c r="Y29"/>
  <c r="X32"/>
  <c r="AO32" s="1"/>
  <c r="X31"/>
  <c r="AO31" s="1"/>
  <c r="X30"/>
  <c r="AO30" s="1"/>
  <c r="X29"/>
  <c r="V32"/>
  <c r="AM32" s="1"/>
  <c r="V31"/>
  <c r="AM31" s="1"/>
  <c r="V30"/>
  <c r="AM30" s="1"/>
  <c r="V29"/>
  <c r="U32"/>
  <c r="AL32" s="1"/>
  <c r="U31"/>
  <c r="AL31" s="1"/>
  <c r="U30"/>
  <c r="AL30" s="1"/>
  <c r="U29"/>
  <c r="T32"/>
  <c r="AK32" s="1"/>
  <c r="T31"/>
  <c r="AK31" s="1"/>
  <c r="T30"/>
  <c r="AK30" s="1"/>
  <c r="T29"/>
  <c r="S32"/>
  <c r="AJ32" s="1"/>
  <c r="S31"/>
  <c r="AJ31" s="1"/>
  <c r="S30"/>
  <c r="AJ30" s="1"/>
  <c r="S29"/>
  <c r="AE28"/>
  <c r="AV28" s="1"/>
  <c r="AE27"/>
  <c r="AV27" s="1"/>
  <c r="AE26"/>
  <c r="AV26" s="1"/>
  <c r="AE25"/>
  <c r="AC28"/>
  <c r="AT28" s="1"/>
  <c r="AC27"/>
  <c r="AT27" s="1"/>
  <c r="AC26"/>
  <c r="AT26" s="1"/>
  <c r="AC25"/>
  <c r="AD28"/>
  <c r="AU28" s="1"/>
  <c r="AD27"/>
  <c r="AU27" s="1"/>
  <c r="AD26"/>
  <c r="AU26" s="1"/>
  <c r="AD25"/>
  <c r="AB28"/>
  <c r="AS28" s="1"/>
  <c r="AB27"/>
  <c r="AS27" s="1"/>
  <c r="AB26"/>
  <c r="AS26" s="1"/>
  <c r="AB25"/>
  <c r="AA28"/>
  <c r="AR28" s="1"/>
  <c r="AA27"/>
  <c r="AR27" s="1"/>
  <c r="AA26"/>
  <c r="AR26" s="1"/>
  <c r="AA25"/>
  <c r="Y25"/>
  <c r="Z28"/>
  <c r="AQ28" s="1"/>
  <c r="Z27"/>
  <c r="AQ27" s="1"/>
  <c r="Z26"/>
  <c r="AQ26" s="1"/>
  <c r="Z25"/>
  <c r="Y28"/>
  <c r="AP28" s="1"/>
  <c r="Y27"/>
  <c r="AP27" s="1"/>
  <c r="Y26"/>
  <c r="AP26" s="1"/>
  <c r="X28"/>
  <c r="AO28" s="1"/>
  <c r="X27"/>
  <c r="AO27" s="1"/>
  <c r="X26"/>
  <c r="AO26" s="1"/>
  <c r="X25"/>
  <c r="AN28"/>
  <c r="W27"/>
  <c r="AN27" s="1"/>
  <c r="W26"/>
  <c r="AN26" s="1"/>
  <c r="V28"/>
  <c r="AM28" s="1"/>
  <c r="V27"/>
  <c r="AM27" s="1"/>
  <c r="V26"/>
  <c r="AM26" s="1"/>
  <c r="V25"/>
  <c r="U28"/>
  <c r="AL28" s="1"/>
  <c r="U27"/>
  <c r="AL27" s="1"/>
  <c r="U26"/>
  <c r="AL26" s="1"/>
  <c r="U25"/>
  <c r="T28"/>
  <c r="AK28" s="1"/>
  <c r="T27"/>
  <c r="AK27" s="1"/>
  <c r="T26"/>
  <c r="AK26" s="1"/>
  <c r="T25"/>
  <c r="S28"/>
  <c r="AJ28" s="1"/>
  <c r="S27"/>
  <c r="AJ27" s="1"/>
  <c r="S26"/>
  <c r="AJ26" s="1"/>
  <c r="S25"/>
  <c r="AG24"/>
  <c r="AX24" s="1"/>
  <c r="AG23"/>
  <c r="AX23" s="1"/>
  <c r="AG22"/>
  <c r="AX22" s="1"/>
  <c r="AG21"/>
  <c r="AF24"/>
  <c r="AW24" s="1"/>
  <c r="AF23"/>
  <c r="AW23" s="1"/>
  <c r="AF22"/>
  <c r="AW22" s="1"/>
  <c r="AF21"/>
  <c r="AD22"/>
  <c r="AU22" s="1"/>
  <c r="AC22"/>
  <c r="AT22" s="1"/>
  <c r="AA21"/>
  <c r="AD24"/>
  <c r="AU24" s="1"/>
  <c r="AD23"/>
  <c r="AU23" s="1"/>
  <c r="AD21"/>
  <c r="AC24"/>
  <c r="AT24" s="1"/>
  <c r="AC23"/>
  <c r="AT23" s="1"/>
  <c r="AC21"/>
  <c r="AA24"/>
  <c r="AR24" s="1"/>
  <c r="AA23"/>
  <c r="AR23" s="1"/>
  <c r="AA22"/>
  <c r="AR22" s="1"/>
  <c r="X24"/>
  <c r="AO24" s="1"/>
  <c r="X23"/>
  <c r="AO23" s="1"/>
  <c r="X22"/>
  <c r="AO22" s="1"/>
  <c r="X21"/>
  <c r="Z24"/>
  <c r="AQ24" s="1"/>
  <c r="Z23"/>
  <c r="AQ23" s="1"/>
  <c r="Z22"/>
  <c r="AQ22" s="1"/>
  <c r="Z21"/>
  <c r="Y24"/>
  <c r="AP24" s="1"/>
  <c r="Y23"/>
  <c r="AP23" s="1"/>
  <c r="Y22"/>
  <c r="AP22" s="1"/>
  <c r="Y21"/>
  <c r="W24"/>
  <c r="AN24" s="1"/>
  <c r="W23"/>
  <c r="AN23" s="1"/>
  <c r="W22"/>
  <c r="AN22" s="1"/>
  <c r="V24"/>
  <c r="AM24" s="1"/>
  <c r="V23"/>
  <c r="AM23" s="1"/>
  <c r="V22"/>
  <c r="AM22" s="1"/>
  <c r="T24"/>
  <c r="AK24" s="1"/>
  <c r="T23"/>
  <c r="AK23" s="1"/>
  <c r="T22"/>
  <c r="AK22" s="1"/>
  <c r="T21"/>
  <c r="S24"/>
  <c r="AJ24" s="1"/>
  <c r="S23"/>
  <c r="AJ23" s="1"/>
  <c r="S22"/>
  <c r="AJ22" s="1"/>
  <c r="S21"/>
  <c r="AD20"/>
  <c r="AU20" s="1"/>
  <c r="AD19"/>
  <c r="AU19" s="1"/>
  <c r="AD18"/>
  <c r="AU18" s="1"/>
  <c r="AD17"/>
  <c r="AE20"/>
  <c r="AV20" s="1"/>
  <c r="AE19"/>
  <c r="AV19" s="1"/>
  <c r="AE18"/>
  <c r="AV18" s="1"/>
  <c r="AE17"/>
  <c r="AG17"/>
  <c r="AG20"/>
  <c r="AX20" s="1"/>
  <c r="AG19"/>
  <c r="AX19" s="1"/>
  <c r="AG18"/>
  <c r="AX18" s="1"/>
  <c r="AC17"/>
  <c r="AC20"/>
  <c r="AT20" s="1"/>
  <c r="AC19"/>
  <c r="AT19" s="1"/>
  <c r="AC18"/>
  <c r="AT18" s="1"/>
  <c r="AA20"/>
  <c r="AR20" s="1"/>
  <c r="AA19"/>
  <c r="AR19" s="1"/>
  <c r="AA18"/>
  <c r="AR18" s="1"/>
  <c r="AA17"/>
  <c r="Z20"/>
  <c r="AQ20" s="1"/>
  <c r="Z19"/>
  <c r="AQ19" s="1"/>
  <c r="Z18"/>
  <c r="AQ18" s="1"/>
  <c r="Z17"/>
  <c r="Y19"/>
  <c r="AP19" s="1"/>
  <c r="Y18"/>
  <c r="AP18" s="1"/>
  <c r="Y20"/>
  <c r="AP20" s="1"/>
  <c r="Y17"/>
  <c r="W20"/>
  <c r="AN20" s="1"/>
  <c r="W19"/>
  <c r="AN19" s="1"/>
  <c r="W18"/>
  <c r="AN18" s="1"/>
  <c r="AX15"/>
  <c r="AV16"/>
  <c r="AU16"/>
  <c r="AV15"/>
  <c r="AU15"/>
  <c r="AV14"/>
  <c r="AU14"/>
  <c r="AT16"/>
  <c r="AT15"/>
  <c r="AT14"/>
  <c r="AS16"/>
  <c r="AS15"/>
  <c r="AS14"/>
  <c r="AR14"/>
  <c r="AR16"/>
  <c r="AR15"/>
  <c r="AQ16"/>
  <c r="AQ15"/>
  <c r="AQ14"/>
  <c r="Y16"/>
  <c r="AP16" s="1"/>
  <c r="Y15"/>
  <c r="AP15" s="1"/>
  <c r="Y14"/>
  <c r="AP14" s="1"/>
  <c r="AN16"/>
  <c r="AN15"/>
  <c r="AN14"/>
  <c r="AM16"/>
  <c r="AM15"/>
  <c r="AM14"/>
  <c r="AL16"/>
  <c r="AL15"/>
  <c r="AL14"/>
  <c r="AK16"/>
  <c r="AK15"/>
  <c r="AK14"/>
  <c r="AK20"/>
  <c r="AK19"/>
  <c r="AK18"/>
  <c r="S20"/>
  <c r="AJ20" s="1"/>
  <c r="S19"/>
  <c r="AJ19" s="1"/>
  <c r="S18"/>
  <c r="AJ18" s="1"/>
  <c r="S17"/>
  <c r="S16"/>
  <c r="AJ16" s="1"/>
  <c r="S15"/>
  <c r="AJ15" s="1"/>
  <c r="S14"/>
  <c r="AJ14" s="1"/>
  <c r="AX45" l="1"/>
  <c r="AX10" s="1"/>
  <c r="AG10"/>
  <c r="BO10" s="1"/>
  <c r="CF10" s="1"/>
  <c r="AX17"/>
  <c r="AX3" s="1"/>
  <c r="AG3"/>
  <c r="BO3" s="1"/>
  <c r="CF3" s="1"/>
  <c r="AX49"/>
  <c r="AX11" s="1"/>
  <c r="AG11"/>
  <c r="BO11" s="1"/>
  <c r="CF11" s="1"/>
  <c r="AX41"/>
  <c r="AX9" s="1"/>
  <c r="AG9"/>
  <c r="BO9" s="1"/>
  <c r="CF9" s="1"/>
  <c r="AX37"/>
  <c r="AX8" s="1"/>
  <c r="AG8"/>
  <c r="BO8" s="1"/>
  <c r="CF8" s="1"/>
  <c r="AX33"/>
  <c r="AX7" s="1"/>
  <c r="AG7"/>
  <c r="BO7" s="1"/>
  <c r="CF7" s="1"/>
  <c r="AX29"/>
  <c r="AX6" s="1"/>
  <c r="AG6"/>
  <c r="BO6" s="1"/>
  <c r="CF6" s="1"/>
  <c r="AW21"/>
  <c r="AW4" s="1"/>
  <c r="AF4"/>
  <c r="BN4" s="1"/>
  <c r="CE4" s="1"/>
  <c r="AX21"/>
  <c r="AX4" s="1"/>
  <c r="AG4"/>
  <c r="BO4" s="1"/>
  <c r="CF4" s="1"/>
  <c r="AX14"/>
  <c r="AX2" s="1"/>
  <c r="AG2"/>
  <c r="BO2" s="1"/>
  <c r="CF2" s="1"/>
  <c r="AW49"/>
  <c r="AW11" s="1"/>
  <c r="AF11"/>
  <c r="BN11" s="1"/>
  <c r="CE11" s="1"/>
  <c r="AW41"/>
  <c r="AW9" s="1"/>
  <c r="AF9"/>
  <c r="BN9" s="1"/>
  <c r="CE9" s="1"/>
  <c r="AW37"/>
  <c r="AW8" s="1"/>
  <c r="AF8"/>
  <c r="BN8" s="1"/>
  <c r="CE8" s="1"/>
  <c r="AW33"/>
  <c r="AW7" s="1"/>
  <c r="AF7"/>
  <c r="BN7" s="1"/>
  <c r="CE7" s="1"/>
  <c r="AV37"/>
  <c r="AV8" s="1"/>
  <c r="AE8"/>
  <c r="BM8" s="1"/>
  <c r="CD8" s="1"/>
  <c r="AW29"/>
  <c r="AW6" s="1"/>
  <c r="AF6"/>
  <c r="BN6" s="1"/>
  <c r="CE6" s="1"/>
  <c r="AV49"/>
  <c r="AV11" s="1"/>
  <c r="AE11"/>
  <c r="BM11" s="1"/>
  <c r="CD11" s="1"/>
  <c r="AU41"/>
  <c r="AU9" s="1"/>
  <c r="AD9"/>
  <c r="BL9" s="1"/>
  <c r="CC9" s="1"/>
  <c r="AV41"/>
  <c r="AV9" s="1"/>
  <c r="AE9"/>
  <c r="BM9" s="1"/>
  <c r="CD9" s="1"/>
  <c r="AV33"/>
  <c r="AV7" s="1"/>
  <c r="AE7"/>
  <c r="BM7" s="1"/>
  <c r="CD7" s="1"/>
  <c r="AV29"/>
  <c r="AV6" s="1"/>
  <c r="AE6"/>
  <c r="BM6" s="1"/>
  <c r="CD6" s="1"/>
  <c r="AV25"/>
  <c r="AV5" s="1"/>
  <c r="AE5"/>
  <c r="BM5" s="1"/>
  <c r="CD5" s="1"/>
  <c r="AV17"/>
  <c r="AV3" s="1"/>
  <c r="AE3"/>
  <c r="BM3" s="1"/>
  <c r="CD3" s="1"/>
  <c r="AV13"/>
  <c r="AV2" s="1"/>
  <c r="AE2"/>
  <c r="BM2" s="1"/>
  <c r="CD2" s="1"/>
  <c r="AU49"/>
  <c r="AU11" s="1"/>
  <c r="AD11"/>
  <c r="BL11" s="1"/>
  <c r="CC11" s="1"/>
  <c r="AU45"/>
  <c r="AU10" s="1"/>
  <c r="AD10"/>
  <c r="BL10" s="1"/>
  <c r="CC10" s="1"/>
  <c r="AT49"/>
  <c r="AT11" s="1"/>
  <c r="AC11"/>
  <c r="BK11" s="1"/>
  <c r="CB11" s="1"/>
  <c r="AU33"/>
  <c r="AU7" s="1"/>
  <c r="AD7"/>
  <c r="BL7" s="1"/>
  <c r="CC7" s="1"/>
  <c r="AU29"/>
  <c r="AU6" s="1"/>
  <c r="AD6"/>
  <c r="BL6" s="1"/>
  <c r="CC6" s="1"/>
  <c r="AU25"/>
  <c r="AU5" s="1"/>
  <c r="AD5"/>
  <c r="BL5" s="1"/>
  <c r="CC5" s="1"/>
  <c r="AU21"/>
  <c r="AU4" s="1"/>
  <c r="AD4"/>
  <c r="BL4" s="1"/>
  <c r="CC4" s="1"/>
  <c r="AT21"/>
  <c r="AT4" s="1"/>
  <c r="AC4"/>
  <c r="BK4" s="1"/>
  <c r="CB4" s="1"/>
  <c r="AU17"/>
  <c r="AU3" s="1"/>
  <c r="AD3"/>
  <c r="BL3" s="1"/>
  <c r="CC3" s="1"/>
  <c r="AT17"/>
  <c r="AT3" s="1"/>
  <c r="AC3"/>
  <c r="BK3" s="1"/>
  <c r="CB3" s="1"/>
  <c r="AU13"/>
  <c r="AU2" s="1"/>
  <c r="AD2"/>
  <c r="BL2" s="1"/>
  <c r="CC2" s="1"/>
  <c r="AT45"/>
  <c r="AT10" s="1"/>
  <c r="AC10"/>
  <c r="BK10" s="1"/>
  <c r="CB10" s="1"/>
  <c r="AT33"/>
  <c r="AT7" s="1"/>
  <c r="AC7"/>
  <c r="BK7" s="1"/>
  <c r="CB7" s="1"/>
  <c r="AT29"/>
  <c r="AT6" s="1"/>
  <c r="AC6"/>
  <c r="BK6" s="1"/>
  <c r="CB6" s="1"/>
  <c r="AT25"/>
  <c r="AT5" s="1"/>
  <c r="AC5"/>
  <c r="BK5" s="1"/>
  <c r="CB5" s="1"/>
  <c r="AT13"/>
  <c r="AT2" s="1"/>
  <c r="AC2"/>
  <c r="BK2" s="1"/>
  <c r="CB2" s="1"/>
  <c r="AS45"/>
  <c r="AS10" s="1"/>
  <c r="AB10"/>
  <c r="BJ10" s="1"/>
  <c r="CA10" s="1"/>
  <c r="AS41"/>
  <c r="AS9" s="1"/>
  <c r="AB9"/>
  <c r="BJ9" s="1"/>
  <c r="CA9" s="1"/>
  <c r="AS37"/>
  <c r="AS8" s="1"/>
  <c r="AB8"/>
  <c r="BJ8" s="1"/>
  <c r="CA8" s="1"/>
  <c r="AS33"/>
  <c r="AS7" s="1"/>
  <c r="AB7"/>
  <c r="BJ7" s="1"/>
  <c r="CA7" s="1"/>
  <c r="AR33"/>
  <c r="AR7" s="1"/>
  <c r="AA7"/>
  <c r="BI7" s="1"/>
  <c r="BZ7" s="1"/>
  <c r="AS29"/>
  <c r="AS6" s="1"/>
  <c r="AB6"/>
  <c r="BJ6" s="1"/>
  <c r="CA6" s="1"/>
  <c r="AS25"/>
  <c r="AS5" s="1"/>
  <c r="AB5"/>
  <c r="BJ5" s="1"/>
  <c r="CA5" s="1"/>
  <c r="AR29"/>
  <c r="AR6" s="1"/>
  <c r="AA6"/>
  <c r="BI6" s="1"/>
  <c r="BZ6" s="1"/>
  <c r="AS13"/>
  <c r="AS2" s="1"/>
  <c r="AB2"/>
  <c r="BJ2" s="1"/>
  <c r="CA2" s="1"/>
  <c r="AR49"/>
  <c r="AR11" s="1"/>
  <c r="AA11"/>
  <c r="BI11" s="1"/>
  <c r="BZ11" s="1"/>
  <c r="AQ49"/>
  <c r="AQ11" s="1"/>
  <c r="Z11"/>
  <c r="BH11" s="1"/>
  <c r="BY11" s="1"/>
  <c r="AR45"/>
  <c r="AR10" s="1"/>
  <c r="AA10"/>
  <c r="BI10" s="1"/>
  <c r="BZ10" s="1"/>
  <c r="AR41"/>
  <c r="AR9" s="1"/>
  <c r="AA9"/>
  <c r="BI9" s="1"/>
  <c r="BZ9" s="1"/>
  <c r="AR37"/>
  <c r="AR8" s="1"/>
  <c r="AA8"/>
  <c r="BI8" s="1"/>
  <c r="BZ8" s="1"/>
  <c r="AR25"/>
  <c r="AR5" s="1"/>
  <c r="AA5"/>
  <c r="BI5" s="1"/>
  <c r="BZ5" s="1"/>
  <c r="AR21"/>
  <c r="AR4" s="1"/>
  <c r="AA4"/>
  <c r="BI4" s="1"/>
  <c r="BZ4" s="1"/>
  <c r="AR17"/>
  <c r="AR3" s="1"/>
  <c r="AA3"/>
  <c r="BI3" s="1"/>
  <c r="BZ3" s="1"/>
  <c r="AR13"/>
  <c r="AR2" s="1"/>
  <c r="AA2"/>
  <c r="BI2" s="1"/>
  <c r="BZ2" s="1"/>
  <c r="AQ45"/>
  <c r="AQ10" s="1"/>
  <c r="Z10"/>
  <c r="BH10" s="1"/>
  <c r="BY10" s="1"/>
  <c r="AQ41"/>
  <c r="AQ9" s="1"/>
  <c r="Z9"/>
  <c r="BH9" s="1"/>
  <c r="BY9" s="1"/>
  <c r="AQ37"/>
  <c r="AQ8" s="1"/>
  <c r="Z8"/>
  <c r="BH8" s="1"/>
  <c r="BY8" s="1"/>
  <c r="AQ25"/>
  <c r="AQ5" s="1"/>
  <c r="Z5"/>
  <c r="BH5" s="1"/>
  <c r="BY5" s="1"/>
  <c r="AQ21"/>
  <c r="AQ4" s="1"/>
  <c r="Z4"/>
  <c r="BH4" s="1"/>
  <c r="BY4" s="1"/>
  <c r="AQ17"/>
  <c r="AQ3" s="1"/>
  <c r="Z3"/>
  <c r="BH3" s="1"/>
  <c r="BY3" s="1"/>
  <c r="AP13"/>
  <c r="AP2" s="1"/>
  <c r="Y2"/>
  <c r="BG2" s="1"/>
  <c r="BX2" s="1"/>
  <c r="AQ13"/>
  <c r="AQ2" s="1"/>
  <c r="Z2"/>
  <c r="BH2" s="1"/>
  <c r="BY2" s="1"/>
  <c r="AP17"/>
  <c r="AP3" s="1"/>
  <c r="Y3"/>
  <c r="BG3" s="1"/>
  <c r="BX3" s="1"/>
  <c r="AP45"/>
  <c r="AP10" s="1"/>
  <c r="Y10"/>
  <c r="BG10" s="1"/>
  <c r="BX10" s="1"/>
  <c r="AO45"/>
  <c r="AO10" s="1"/>
  <c r="X10"/>
  <c r="BF10" s="1"/>
  <c r="BW10" s="1"/>
  <c r="AP41"/>
  <c r="AP9" s="1"/>
  <c r="Y9"/>
  <c r="BG9" s="1"/>
  <c r="BX9" s="1"/>
  <c r="AP37"/>
  <c r="AP8" s="1"/>
  <c r="Y8"/>
  <c r="BG8" s="1"/>
  <c r="BX8" s="1"/>
  <c r="AO41"/>
  <c r="AO9" s="1"/>
  <c r="X9"/>
  <c r="BF9" s="1"/>
  <c r="BW9" s="1"/>
  <c r="AP33"/>
  <c r="AP7" s="1"/>
  <c r="Y7"/>
  <c r="BG7" s="1"/>
  <c r="BX7" s="1"/>
  <c r="AP29"/>
  <c r="AP6" s="1"/>
  <c r="Y6"/>
  <c r="BG6" s="1"/>
  <c r="BX6" s="1"/>
  <c r="AP25"/>
  <c r="AP5" s="1"/>
  <c r="Y5"/>
  <c r="BG5" s="1"/>
  <c r="BX5" s="1"/>
  <c r="AO29"/>
  <c r="AO6" s="1"/>
  <c r="X6"/>
  <c r="BF6" s="1"/>
  <c r="BW6" s="1"/>
  <c r="AP21"/>
  <c r="AP4" s="1"/>
  <c r="Y4"/>
  <c r="BG4" s="1"/>
  <c r="BX4" s="1"/>
  <c r="AO49"/>
  <c r="AO11" s="1"/>
  <c r="X11"/>
  <c r="BF11" s="1"/>
  <c r="BW11" s="1"/>
  <c r="AO37"/>
  <c r="AO8" s="1"/>
  <c r="X8"/>
  <c r="BF8" s="1"/>
  <c r="BW8" s="1"/>
  <c r="AO33"/>
  <c r="AO7" s="1"/>
  <c r="X7"/>
  <c r="BF7" s="1"/>
  <c r="BW7" s="1"/>
  <c r="AO25"/>
  <c r="AO5" s="1"/>
  <c r="X5"/>
  <c r="BF5" s="1"/>
  <c r="BW5" s="1"/>
  <c r="AO21"/>
  <c r="AO4" s="1"/>
  <c r="X4"/>
  <c r="BF4" s="1"/>
  <c r="BW4" s="1"/>
  <c r="AN17"/>
  <c r="AN3" s="1"/>
  <c r="W3"/>
  <c r="BE3" s="1"/>
  <c r="BV3" s="1"/>
  <c r="AN49"/>
  <c r="AN11" s="1"/>
  <c r="W11"/>
  <c r="BE11" s="1"/>
  <c r="BV11" s="1"/>
  <c r="AN37"/>
  <c r="AN8" s="1"/>
  <c r="W8"/>
  <c r="BE8" s="1"/>
  <c r="BV8" s="1"/>
  <c r="AN33"/>
  <c r="AN7" s="1"/>
  <c r="W7"/>
  <c r="BE7" s="1"/>
  <c r="BV7" s="1"/>
  <c r="AN25"/>
  <c r="AN5" s="1"/>
  <c r="W5"/>
  <c r="BE5" s="1"/>
  <c r="BV5" s="1"/>
  <c r="AN21"/>
  <c r="AN4" s="1"/>
  <c r="W4"/>
  <c r="BE4" s="1"/>
  <c r="BV4" s="1"/>
  <c r="AM21"/>
  <c r="AM4" s="1"/>
  <c r="V4"/>
  <c r="BD4" s="1"/>
  <c r="BU4" s="1"/>
  <c r="AN13"/>
  <c r="AN2" s="1"/>
  <c r="W2"/>
  <c r="BE2" s="1"/>
  <c r="BV2" s="1"/>
  <c r="AM49"/>
  <c r="AM11" s="1"/>
  <c r="V11"/>
  <c r="BD11" s="1"/>
  <c r="BU11" s="1"/>
  <c r="AM45"/>
  <c r="AM10" s="1"/>
  <c r="V10"/>
  <c r="BD10" s="1"/>
  <c r="BU10" s="1"/>
  <c r="AM41"/>
  <c r="AM9" s="1"/>
  <c r="V9"/>
  <c r="BD9" s="1"/>
  <c r="BU9" s="1"/>
  <c r="AM37"/>
  <c r="AM8" s="1"/>
  <c r="V8"/>
  <c r="BD8" s="1"/>
  <c r="BU8" s="1"/>
  <c r="AL41"/>
  <c r="AL9" s="1"/>
  <c r="U9"/>
  <c r="BC9" s="1"/>
  <c r="BT9" s="1"/>
  <c r="AM33"/>
  <c r="AM7" s="1"/>
  <c r="V7"/>
  <c r="BD7" s="1"/>
  <c r="BU7" s="1"/>
  <c r="AM29"/>
  <c r="AM6" s="1"/>
  <c r="V6"/>
  <c r="BD6" s="1"/>
  <c r="BU6" s="1"/>
  <c r="AM25"/>
  <c r="AM5" s="1"/>
  <c r="V5"/>
  <c r="BD5" s="1"/>
  <c r="BU5" s="1"/>
  <c r="AM13"/>
  <c r="AM2" s="1"/>
  <c r="V2"/>
  <c r="BD2" s="1"/>
  <c r="BU2" s="1"/>
  <c r="AL49"/>
  <c r="AL11" s="1"/>
  <c r="U11"/>
  <c r="BC11" s="1"/>
  <c r="BT11" s="1"/>
  <c r="AK45"/>
  <c r="AK10" s="1"/>
  <c r="T10"/>
  <c r="BB10" s="1"/>
  <c r="BS10" s="1"/>
  <c r="AL45"/>
  <c r="AL10" s="1"/>
  <c r="U10"/>
  <c r="BC10" s="1"/>
  <c r="BT10" s="1"/>
  <c r="AL37"/>
  <c r="AL8" s="1"/>
  <c r="U8"/>
  <c r="BC8" s="1"/>
  <c r="BT8" s="1"/>
  <c r="AL33"/>
  <c r="AL7" s="1"/>
  <c r="U7"/>
  <c r="BC7" s="1"/>
  <c r="BT7" s="1"/>
  <c r="AL29"/>
  <c r="AL6" s="1"/>
  <c r="U6"/>
  <c r="BC6" s="1"/>
  <c r="BT6" s="1"/>
  <c r="AK33"/>
  <c r="AK7" s="1"/>
  <c r="T7"/>
  <c r="BB7" s="1"/>
  <c r="BS7" s="1"/>
  <c r="AL25"/>
  <c r="AL5" s="1"/>
  <c r="U5"/>
  <c r="BC5" s="1"/>
  <c r="BT5" s="1"/>
  <c r="AL13"/>
  <c r="AL2" s="1"/>
  <c r="U2"/>
  <c r="BC2" s="1"/>
  <c r="BT2" s="1"/>
  <c r="AK49"/>
  <c r="AK11" s="1"/>
  <c r="T11"/>
  <c r="BB11" s="1"/>
  <c r="BS11" s="1"/>
  <c r="AJ45"/>
  <c r="AJ10" s="1"/>
  <c r="S10"/>
  <c r="BA10" s="1"/>
  <c r="BR10" s="1"/>
  <c r="AJ49"/>
  <c r="AJ11" s="1"/>
  <c r="S11"/>
  <c r="BA11" s="1"/>
  <c r="BR11" s="1"/>
  <c r="AJ37"/>
  <c r="AJ8" s="1"/>
  <c r="S8"/>
  <c r="BA8" s="1"/>
  <c r="BR8" s="1"/>
  <c r="AK37"/>
  <c r="AK8" s="1"/>
  <c r="T8"/>
  <c r="BB8" s="1"/>
  <c r="BS8" s="1"/>
  <c r="AK29"/>
  <c r="AK6" s="1"/>
  <c r="T6"/>
  <c r="BB6" s="1"/>
  <c r="BS6" s="1"/>
  <c r="AK25"/>
  <c r="AK5" s="1"/>
  <c r="T5"/>
  <c r="BB5" s="1"/>
  <c r="BS5" s="1"/>
  <c r="AJ29"/>
  <c r="AJ6" s="1"/>
  <c r="S6"/>
  <c r="BA6" s="1"/>
  <c r="BR6" s="1"/>
  <c r="AK21"/>
  <c r="AK4" s="1"/>
  <c r="T4"/>
  <c r="BB4" s="1"/>
  <c r="BS4" s="1"/>
  <c r="AJ25"/>
  <c r="AJ5" s="1"/>
  <c r="S5"/>
  <c r="BA5" s="1"/>
  <c r="BR5" s="1"/>
  <c r="AK17"/>
  <c r="AK3" s="1"/>
  <c r="T3"/>
  <c r="BB3" s="1"/>
  <c r="BS3" s="1"/>
  <c r="AJ21"/>
  <c r="AJ4" s="1"/>
  <c r="S4"/>
  <c r="BA4" s="1"/>
  <c r="BR4" s="1"/>
  <c r="AJ13"/>
  <c r="AJ2" s="1"/>
  <c r="S2"/>
  <c r="BA2" s="1"/>
  <c r="BR2" s="1"/>
  <c r="AJ17"/>
  <c r="AJ3" s="1"/>
  <c r="S3"/>
  <c r="BA3" s="1"/>
  <c r="BR3" s="1"/>
  <c r="AK13"/>
  <c r="AK2" s="1"/>
  <c r="T2"/>
  <c r="BB2" s="1"/>
  <c r="BS2" s="1"/>
  <c r="CG9" l="1"/>
  <c r="CG10"/>
  <c r="CG7"/>
  <c r="CG11"/>
  <c r="CG8"/>
  <c r="CG6"/>
  <c r="CG5"/>
  <c r="CG3"/>
  <c r="CG4"/>
  <c r="CG2"/>
  <c r="CG12" l="1"/>
  <c r="O13" s="1"/>
</calcChain>
</file>

<file path=xl/sharedStrings.xml><?xml version="1.0" encoding="utf-8"?>
<sst xmlns="http://schemas.openxmlformats.org/spreadsheetml/2006/main" count="112" uniqueCount="15">
  <si>
    <t>U</t>
  </si>
  <si>
    <t>^</t>
  </si>
  <si>
    <t>&lt;</t>
  </si>
  <si>
    <t>&gt;</t>
  </si>
  <si>
    <t>v</t>
  </si>
  <si>
    <t>Max A</t>
  </si>
  <si>
    <t>New U</t>
  </si>
  <si>
    <t>Up</t>
  </si>
  <si>
    <t>Left</t>
  </si>
  <si>
    <t>Right</t>
  </si>
  <si>
    <t>Down</t>
  </si>
  <si>
    <t>Actions</t>
  </si>
  <si>
    <t>Uncertainty</t>
  </si>
  <si>
    <t>Action</t>
  </si>
  <si>
    <t>wall</t>
  </si>
</sst>
</file>

<file path=xl/styles.xml><?xml version="1.0" encoding="utf-8"?>
<styleSheet xmlns="http://schemas.openxmlformats.org/spreadsheetml/2006/main">
  <numFmts count="2">
    <numFmt numFmtId="187" formatCode="0.000"/>
    <numFmt numFmtId="188" formatCode="0.0"/>
  </numFmts>
  <fonts count="9">
    <font>
      <sz val="11"/>
      <color theme="1"/>
      <name val="Tahoma"/>
      <family val="2"/>
      <charset val="222"/>
      <scheme val="minor"/>
    </font>
    <font>
      <b/>
      <sz val="11"/>
      <color theme="1"/>
      <name val="Tahoma"/>
      <family val="2"/>
      <scheme val="minor"/>
    </font>
    <font>
      <b/>
      <sz val="22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20"/>
      <color theme="1"/>
      <name val="Tahoma"/>
      <family val="2"/>
      <charset val="222"/>
      <scheme val="minor"/>
    </font>
    <font>
      <b/>
      <sz val="28"/>
      <color theme="1"/>
      <name val="Tahoma"/>
      <family val="2"/>
      <scheme val="minor"/>
    </font>
    <font>
      <b/>
      <sz val="12"/>
      <color theme="1"/>
      <name val="Tahoma"/>
      <family val="2"/>
      <scheme val="minor"/>
    </font>
    <font>
      <b/>
      <sz val="20"/>
      <color theme="1"/>
      <name val="Tahoma"/>
      <family val="2"/>
      <scheme val="minor"/>
    </font>
    <font>
      <sz val="12"/>
      <color theme="0"/>
      <name val="Tahoma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187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0" borderId="0" xfId="0" applyAlignment="1">
      <alignment horizontal="center" vertical="center"/>
    </xf>
    <xf numFmtId="0" fontId="0" fillId="3" borderId="19" xfId="0" applyFill="1" applyBorder="1"/>
    <xf numFmtId="0" fontId="0" fillId="3" borderId="20" xfId="0" applyFill="1" applyBorder="1"/>
    <xf numFmtId="0" fontId="0" fillId="3" borderId="21" xfId="0" applyFill="1" applyBorder="1"/>
    <xf numFmtId="0" fontId="2" fillId="0" borderId="0" xfId="0" applyFont="1" applyBorder="1" applyAlignment="1"/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188" fontId="0" fillId="6" borderId="9" xfId="0" applyNumberFormat="1" applyFill="1" applyBorder="1" applyAlignment="1">
      <alignment horizontal="center" vertical="center"/>
    </xf>
    <xf numFmtId="188" fontId="0" fillId="6" borderId="4" xfId="0" applyNumberFormat="1" applyFill="1" applyBorder="1" applyAlignment="1">
      <alignment horizontal="center" vertical="center"/>
    </xf>
    <xf numFmtId="188" fontId="0" fillId="6" borderId="5" xfId="0" applyNumberFormat="1" applyFill="1" applyBorder="1" applyAlignment="1">
      <alignment horizontal="center" vertical="center"/>
    </xf>
    <xf numFmtId="188" fontId="0" fillId="0" borderId="10" xfId="0" applyNumberFormat="1" applyBorder="1" applyAlignment="1">
      <alignment horizontal="center" vertical="center"/>
    </xf>
    <xf numFmtId="188" fontId="0" fillId="0" borderId="1" xfId="0" applyNumberFormat="1" applyBorder="1" applyAlignment="1">
      <alignment horizontal="center" vertical="center"/>
    </xf>
    <xf numFmtId="188" fontId="0" fillId="0" borderId="6" xfId="0" applyNumberFormat="1" applyBorder="1" applyAlignment="1">
      <alignment horizontal="center" vertical="center"/>
    </xf>
    <xf numFmtId="188" fontId="0" fillId="6" borderId="10" xfId="0" applyNumberFormat="1" applyFill="1" applyBorder="1" applyAlignment="1">
      <alignment horizontal="center" vertical="center"/>
    </xf>
    <xf numFmtId="188" fontId="0" fillId="6" borderId="1" xfId="0" applyNumberFormat="1" applyFill="1" applyBorder="1" applyAlignment="1">
      <alignment horizontal="center" vertical="center"/>
    </xf>
    <xf numFmtId="188" fontId="0" fillId="6" borderId="6" xfId="0" applyNumberFormat="1" applyFill="1" applyBorder="1" applyAlignment="1">
      <alignment horizontal="center" vertical="center"/>
    </xf>
    <xf numFmtId="188" fontId="0" fillId="0" borderId="11" xfId="0" applyNumberFormat="1" applyBorder="1" applyAlignment="1">
      <alignment horizontal="center" vertical="center"/>
    </xf>
    <xf numFmtId="188" fontId="0" fillId="0" borderId="7" xfId="0" applyNumberFormat="1" applyBorder="1" applyAlignment="1">
      <alignment horizontal="center" vertical="center"/>
    </xf>
    <xf numFmtId="188" fontId="0" fillId="0" borderId="8" xfId="0" applyNumberFormat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188" fontId="0" fillId="6" borderId="22" xfId="0" applyNumberFormat="1" applyFill="1" applyBorder="1" applyAlignment="1">
      <alignment horizontal="center" vertical="center"/>
    </xf>
    <xf numFmtId="0" fontId="3" fillId="8" borderId="12" xfId="0" applyFont="1" applyFill="1" applyBorder="1" applyAlignment="1">
      <alignment horizontal="center" vertical="center"/>
    </xf>
    <xf numFmtId="188" fontId="0" fillId="0" borderId="23" xfId="0" applyNumberFormat="1" applyBorder="1" applyAlignment="1">
      <alignment horizontal="center" vertical="center"/>
    </xf>
    <xf numFmtId="188" fontId="0" fillId="6" borderId="23" xfId="0" applyNumberForma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188" fontId="0" fillId="0" borderId="24" xfId="0" applyNumberFormat="1" applyBorder="1" applyAlignment="1">
      <alignment horizontal="center" vertical="center"/>
    </xf>
    <xf numFmtId="187" fontId="0" fillId="9" borderId="19" xfId="0" applyNumberFormat="1" applyFill="1" applyBorder="1" applyAlignment="1">
      <alignment horizontal="center" vertical="center"/>
    </xf>
    <xf numFmtId="187" fontId="0" fillId="0" borderId="19" xfId="0" applyNumberFormat="1" applyFill="1" applyBorder="1" applyAlignment="1">
      <alignment horizontal="center" vertical="center"/>
    </xf>
    <xf numFmtId="187" fontId="0" fillId="3" borderId="19" xfId="0" applyNumberFormat="1" applyFill="1" applyBorder="1" applyAlignment="1">
      <alignment horizontal="center" vertical="center"/>
    </xf>
    <xf numFmtId="187" fontId="0" fillId="9" borderId="20" xfId="0" applyNumberFormat="1" applyFill="1" applyBorder="1" applyAlignment="1">
      <alignment horizontal="center" vertical="center"/>
    </xf>
    <xf numFmtId="187" fontId="0" fillId="0" borderId="20" xfId="0" applyNumberFormat="1" applyFill="1" applyBorder="1" applyAlignment="1">
      <alignment horizontal="center" vertical="center"/>
    </xf>
    <xf numFmtId="187" fontId="0" fillId="3" borderId="20" xfId="0" applyNumberFormat="1" applyFill="1" applyBorder="1" applyAlignment="1">
      <alignment horizontal="center" vertical="center"/>
    </xf>
    <xf numFmtId="187" fontId="0" fillId="3" borderId="21" xfId="0" applyNumberFormat="1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187" fontId="0" fillId="0" borderId="21" xfId="0" applyNumberFormat="1" applyFill="1" applyBorder="1" applyAlignment="1">
      <alignment horizontal="center" vertical="center"/>
    </xf>
    <xf numFmtId="187" fontId="0" fillId="9" borderId="21" xfId="0" applyNumberFormat="1" applyFill="1" applyBorder="1" applyAlignment="1">
      <alignment horizontal="center" vertical="center"/>
    </xf>
    <xf numFmtId="187" fontId="0" fillId="0" borderId="19" xfId="0" applyNumberFormat="1" applyBorder="1" applyAlignment="1">
      <alignment horizontal="center" vertical="center"/>
    </xf>
    <xf numFmtId="187" fontId="0" fillId="0" borderId="20" xfId="0" applyNumberFormat="1" applyBorder="1" applyAlignment="1">
      <alignment horizontal="center" vertical="center"/>
    </xf>
    <xf numFmtId="187" fontId="0" fillId="0" borderId="21" xfId="0" applyNumberFormat="1" applyBorder="1" applyAlignment="1">
      <alignment horizontal="center" vertical="center"/>
    </xf>
    <xf numFmtId="187" fontId="6" fillId="2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8" fillId="3" borderId="1" xfId="0" applyFont="1" applyFill="1" applyBorder="1" applyAlignment="1">
      <alignment horizontal="center" vertical="center"/>
    </xf>
    <xf numFmtId="187" fontId="0" fillId="7" borderId="19" xfId="0" applyNumberFormat="1" applyFill="1" applyBorder="1" applyAlignment="1">
      <alignment horizontal="center" vertical="center"/>
    </xf>
    <xf numFmtId="187" fontId="0" fillId="7" borderId="20" xfId="0" applyNumberFormat="1" applyFill="1" applyBorder="1" applyAlignment="1">
      <alignment horizontal="center" vertical="center"/>
    </xf>
    <xf numFmtId="187" fontId="0" fillId="7" borderId="21" xfId="0" applyNumberFormat="1" applyFill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0" fontId="4" fillId="4" borderId="19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</cellXfs>
  <cellStyles count="1">
    <cellStyle name="ปกติ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40822</xdr:colOff>
      <xdr:row>12</xdr:row>
      <xdr:rowOff>54429</xdr:rowOff>
    </xdr:from>
    <xdr:to>
      <xdr:col>11</xdr:col>
      <xdr:colOff>288472</xdr:colOff>
      <xdr:row>14</xdr:row>
      <xdr:rowOff>149679</xdr:rowOff>
    </xdr:to>
    <xdr:sp macro="[0]!ClearToZero" textlink="">
      <xdr:nvSpPr>
        <xdr:cNvPr id="2" name="Rounded Rectangle 2"/>
        <xdr:cNvSpPr/>
      </xdr:nvSpPr>
      <xdr:spPr>
        <a:xfrm>
          <a:off x="6041572" y="5769429"/>
          <a:ext cx="1581150" cy="6667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36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Clear</a:t>
          </a:r>
          <a:endParaRPr lang="th-TH" sz="1400" b="1" cap="all" spc="0">
            <a:ln w="0"/>
            <a:gradFill flip="none">
              <a:gsLst>
                <a:gs pos="0">
                  <a:schemeClr val="accent1">
                    <a:tint val="75000"/>
                    <a:shade val="75000"/>
                    <a:satMod val="170000"/>
                  </a:schemeClr>
                </a:gs>
                <a:gs pos="49000">
                  <a:schemeClr val="accent1">
                    <a:tint val="88000"/>
                    <a:shade val="65000"/>
                    <a:satMod val="172000"/>
                  </a:schemeClr>
                </a:gs>
                <a:gs pos="50000">
                  <a:schemeClr val="accent1">
                    <a:shade val="65000"/>
                    <a:satMod val="130000"/>
                  </a:schemeClr>
                </a:gs>
                <a:gs pos="92000">
                  <a:schemeClr val="accent1">
                    <a:shade val="50000"/>
                    <a:satMod val="120000"/>
                  </a:schemeClr>
                </a:gs>
                <a:gs pos="100000">
                  <a:schemeClr val="accent1">
                    <a:shade val="48000"/>
                    <a:satMod val="120000"/>
                  </a:schemeClr>
                </a:gs>
              </a:gsLst>
              <a:lin ang="5400000"/>
            </a:gradFill>
            <a:effectLst>
              <a:reflection blurRad="12700" stA="50000" endPos="50000" dist="5000" dir="5400000" sy="-100000" rotWithShape="0"/>
            </a:effectLst>
          </a:endParaRPr>
        </a:p>
      </xdr:txBody>
    </xdr:sp>
    <xdr:clientData/>
  </xdr:twoCellAnchor>
  <xdr:twoCellAnchor>
    <xdr:from>
      <xdr:col>9</xdr:col>
      <xdr:colOff>27215</xdr:colOff>
      <xdr:row>15</xdr:row>
      <xdr:rowOff>54428</xdr:rowOff>
    </xdr:from>
    <xdr:to>
      <xdr:col>11</xdr:col>
      <xdr:colOff>398690</xdr:colOff>
      <xdr:row>17</xdr:row>
      <xdr:rowOff>168728</xdr:rowOff>
    </xdr:to>
    <xdr:sp macro="[0]!StepMDP" textlink="">
      <xdr:nvSpPr>
        <xdr:cNvPr id="3" name="Rounded Rectangle 1"/>
        <xdr:cNvSpPr/>
      </xdr:nvSpPr>
      <xdr:spPr>
        <a:xfrm>
          <a:off x="6027965" y="6626678"/>
          <a:ext cx="1704975" cy="685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36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Step</a:t>
          </a:r>
        </a:p>
      </xdr:txBody>
    </xdr:sp>
    <xdr:clientData/>
  </xdr:twoCellAnchor>
  <xdr:twoCellAnchor>
    <xdr:from>
      <xdr:col>9</xdr:col>
      <xdr:colOff>27215</xdr:colOff>
      <xdr:row>18</xdr:row>
      <xdr:rowOff>40821</xdr:rowOff>
    </xdr:from>
    <xdr:to>
      <xdr:col>12</xdr:col>
      <xdr:colOff>46265</xdr:colOff>
      <xdr:row>20</xdr:row>
      <xdr:rowOff>183696</xdr:rowOff>
    </xdr:to>
    <xdr:sp macro="[0]!RunMDP" textlink="">
      <xdr:nvSpPr>
        <xdr:cNvPr id="5" name="Rounded Rectangle 3"/>
        <xdr:cNvSpPr/>
      </xdr:nvSpPr>
      <xdr:spPr>
        <a:xfrm>
          <a:off x="6027965" y="7470321"/>
          <a:ext cx="2019300" cy="7143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40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ชุดรูปแบบ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B1:CG120"/>
  <sheetViews>
    <sheetView tabSelected="1" zoomScale="60" zoomScaleNormal="60" workbookViewId="0">
      <selection activeCell="P11" sqref="P11"/>
    </sheetView>
  </sheetViews>
  <sheetFormatPr defaultColWidth="8.75" defaultRowHeight="37.5" customHeight="1"/>
  <sheetData>
    <row r="1" spans="2:85" ht="37.5" customHeight="1">
      <c r="B1" s="68" t="s">
        <v>0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S1" s="68" t="s">
        <v>5</v>
      </c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J1" s="68" t="s">
        <v>13</v>
      </c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BA1" s="68" t="s">
        <v>6</v>
      </c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</row>
    <row r="2" spans="2:85" ht="37.5" customHeight="1">
      <c r="B2" s="2">
        <v>0</v>
      </c>
      <c r="C2" s="2">
        <v>0</v>
      </c>
      <c r="D2" s="2">
        <v>0</v>
      </c>
      <c r="E2" s="2">
        <v>0</v>
      </c>
      <c r="F2" s="2">
        <v>0</v>
      </c>
      <c r="G2" s="57" t="s">
        <v>14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57" t="s">
        <v>14</v>
      </c>
      <c r="P2" s="2">
        <v>0</v>
      </c>
      <c r="S2" s="2">
        <f>MAX(S13:S16)</f>
        <v>0</v>
      </c>
      <c r="T2" s="2">
        <f t="shared" ref="T2:AG2" si="0">MAX(T13:T16)</f>
        <v>0</v>
      </c>
      <c r="U2" s="2">
        <f t="shared" si="0"/>
        <v>0</v>
      </c>
      <c r="V2" s="2">
        <f t="shared" si="0"/>
        <v>0.9</v>
      </c>
      <c r="W2" s="2">
        <f t="shared" si="0"/>
        <v>0</v>
      </c>
      <c r="X2" s="6"/>
      <c r="Y2" s="2">
        <f t="shared" si="0"/>
        <v>0</v>
      </c>
      <c r="Z2" s="2">
        <f t="shared" si="0"/>
        <v>0</v>
      </c>
      <c r="AA2" s="2">
        <f t="shared" si="0"/>
        <v>0</v>
      </c>
      <c r="AB2" s="2">
        <f t="shared" si="0"/>
        <v>0</v>
      </c>
      <c r="AC2" s="2">
        <f t="shared" si="0"/>
        <v>0</v>
      </c>
      <c r="AD2" s="2">
        <f t="shared" si="0"/>
        <v>0</v>
      </c>
      <c r="AE2" s="2">
        <f t="shared" si="0"/>
        <v>0</v>
      </c>
      <c r="AF2" s="6"/>
      <c r="AG2" s="2">
        <f t="shared" si="0"/>
        <v>0</v>
      </c>
      <c r="AJ2" s="51" t="str">
        <f>IF(MAX(AJ13:AJ16)=AJ13,$AI$13,IF(MAX(AJ13:AJ16)=AJ14,$AI$14,IF(MAX(AJ13:AJ16)=AJ15,$AI$15,$AI$16)))</f>
        <v>^</v>
      </c>
      <c r="AK2" s="51" t="str">
        <f>IF(MAX(AK13:AK16)=AK13,$AI$13,IF(MAX(AK13:AK16)=AK14,$AI$14,IF(MAX(AK13:AK16)=AK15,$AI$15,$AI$16)))</f>
        <v>^</v>
      </c>
      <c r="AL2" s="51" t="str">
        <f t="shared" ref="AL2:AX2" si="1">IF(MAX(AL13:AL16)=AL13,$AI$13,IF(MAX(AL13:AL16)=AL14,$AI$14,IF(MAX(AL13:AL16)=AL15,$AI$15,$AI$16)))</f>
        <v>^</v>
      </c>
      <c r="AM2" s="51" t="str">
        <f t="shared" si="1"/>
        <v>v</v>
      </c>
      <c r="AN2" s="51" t="str">
        <f t="shared" si="1"/>
        <v>^</v>
      </c>
      <c r="AO2" s="6"/>
      <c r="AP2" s="51" t="str">
        <f t="shared" si="1"/>
        <v>^</v>
      </c>
      <c r="AQ2" s="51" t="str">
        <f t="shared" si="1"/>
        <v>^</v>
      </c>
      <c r="AR2" s="51" t="str">
        <f t="shared" si="1"/>
        <v>^</v>
      </c>
      <c r="AS2" s="51" t="str">
        <f t="shared" si="1"/>
        <v>^</v>
      </c>
      <c r="AT2" s="51" t="str">
        <f t="shared" si="1"/>
        <v>^</v>
      </c>
      <c r="AU2" s="51" t="str">
        <f t="shared" si="1"/>
        <v>^</v>
      </c>
      <c r="AV2" s="51" t="str">
        <f t="shared" si="1"/>
        <v>^</v>
      </c>
      <c r="AW2" s="6"/>
      <c r="AX2" s="51" t="str">
        <f t="shared" si="1"/>
        <v>^</v>
      </c>
      <c r="BA2" s="3">
        <f>S2-0.04</f>
        <v>-0.04</v>
      </c>
      <c r="BB2" s="3">
        <f t="shared" ref="BA2:BH11" si="2">T2-0.04</f>
        <v>-0.04</v>
      </c>
      <c r="BC2" s="3">
        <f t="shared" si="2"/>
        <v>-0.04</v>
      </c>
      <c r="BD2" s="3">
        <f t="shared" si="2"/>
        <v>0.86</v>
      </c>
      <c r="BE2" s="3">
        <f t="shared" si="2"/>
        <v>-0.04</v>
      </c>
      <c r="BF2" s="1"/>
      <c r="BG2" s="3">
        <f t="shared" ref="BG2:BO11" si="3">Y2-0.04</f>
        <v>-0.04</v>
      </c>
      <c r="BH2" s="3">
        <f t="shared" si="3"/>
        <v>-0.04</v>
      </c>
      <c r="BI2" s="3">
        <f t="shared" si="3"/>
        <v>-0.04</v>
      </c>
      <c r="BJ2" s="3">
        <f t="shared" si="3"/>
        <v>-0.04</v>
      </c>
      <c r="BK2" s="3">
        <f t="shared" si="3"/>
        <v>-0.04</v>
      </c>
      <c r="BL2" s="3">
        <f t="shared" si="3"/>
        <v>-0.04</v>
      </c>
      <c r="BM2" s="3">
        <f t="shared" si="3"/>
        <v>-0.04</v>
      </c>
      <c r="BN2" s="6"/>
      <c r="BO2" s="3">
        <f t="shared" si="3"/>
        <v>-0.04</v>
      </c>
      <c r="BR2" s="54">
        <f>ROUND(100*(BA2-B2),3)</f>
        <v>-4</v>
      </c>
      <c r="BS2" s="54">
        <f>ROUND(100*(BB2-C2),3)</f>
        <v>-4</v>
      </c>
      <c r="BT2" s="54">
        <f>ROUND(100*(BC2-D2),3)</f>
        <v>-4</v>
      </c>
      <c r="BU2" s="54">
        <f t="shared" ref="BU2:CF11" si="4">ROUND(100*(BD2-E2),3)</f>
        <v>86</v>
      </c>
      <c r="BV2" s="54">
        <f t="shared" si="4"/>
        <v>-4</v>
      </c>
      <c r="BW2" s="54"/>
      <c r="BX2" s="54">
        <f t="shared" si="4"/>
        <v>-4</v>
      </c>
      <c r="BY2" s="54">
        <f t="shared" si="4"/>
        <v>-4</v>
      </c>
      <c r="BZ2" s="54">
        <f t="shared" si="4"/>
        <v>-4</v>
      </c>
      <c r="CA2" s="54">
        <f t="shared" si="4"/>
        <v>-4</v>
      </c>
      <c r="CB2" s="54">
        <f t="shared" si="4"/>
        <v>-4</v>
      </c>
      <c r="CC2" s="54">
        <f t="shared" si="4"/>
        <v>-4</v>
      </c>
      <c r="CD2" s="54">
        <f t="shared" si="4"/>
        <v>-4</v>
      </c>
      <c r="CE2" s="54"/>
      <c r="CF2" s="54">
        <f t="shared" si="4"/>
        <v>-4</v>
      </c>
      <c r="CG2" s="55">
        <f>SUM(BR2:CF2)</f>
        <v>38</v>
      </c>
    </row>
    <row r="3" spans="2:85" ht="37.5" customHeight="1">
      <c r="B3" s="2">
        <v>0</v>
      </c>
      <c r="C3" s="2">
        <v>0</v>
      </c>
      <c r="D3" s="57" t="s">
        <v>14</v>
      </c>
      <c r="E3" s="5">
        <v>1</v>
      </c>
      <c r="F3" s="2">
        <v>0</v>
      </c>
      <c r="G3" s="57" t="s">
        <v>14</v>
      </c>
      <c r="H3" s="2">
        <v>0</v>
      </c>
      <c r="I3" s="2">
        <v>0</v>
      </c>
      <c r="J3" s="2">
        <v>0</v>
      </c>
      <c r="K3" s="57" t="s">
        <v>14</v>
      </c>
      <c r="L3" s="2">
        <v>0</v>
      </c>
      <c r="M3" s="2">
        <v>0</v>
      </c>
      <c r="N3" s="2">
        <v>0</v>
      </c>
      <c r="O3" s="4">
        <v>-1</v>
      </c>
      <c r="P3" s="2">
        <v>0</v>
      </c>
      <c r="S3" s="2">
        <f>MAX(S17:S20)</f>
        <v>0</v>
      </c>
      <c r="T3" s="2">
        <f>MAX(T17:T20)</f>
        <v>0</v>
      </c>
      <c r="U3" s="6"/>
      <c r="V3" s="5">
        <v>1</v>
      </c>
      <c r="W3" s="2">
        <f>MAX(W17:W20)</f>
        <v>0.9</v>
      </c>
      <c r="X3" s="6"/>
      <c r="Y3" s="2">
        <f>MAX(Y17:Y20)</f>
        <v>0</v>
      </c>
      <c r="Z3" s="2">
        <f>MAX(Z17:Z20)</f>
        <v>0</v>
      </c>
      <c r="AA3" s="2">
        <f>MAX(AA17:AA20)</f>
        <v>0</v>
      </c>
      <c r="AB3" s="6"/>
      <c r="AC3" s="2">
        <f>MAX(AC17:AC20)</f>
        <v>0</v>
      </c>
      <c r="AD3" s="2">
        <f>MAX(AD17:AD20)</f>
        <v>0</v>
      </c>
      <c r="AE3" s="2">
        <f>MAX(AE17:AE20)</f>
        <v>0.8</v>
      </c>
      <c r="AF3" s="4">
        <v>-1</v>
      </c>
      <c r="AG3" s="2">
        <f>MAX(AG17:AG20)</f>
        <v>0</v>
      </c>
      <c r="AJ3" s="51" t="str">
        <f>IF(MAX(AJ17:AJ20)=AJ17,$AI$17,IF(MAX(AJ17:AJ20)=AJ18,$AI$18,IF(MAX(AJ17:AJ20)=AJ19,$AI$19,$AI$20)))</f>
        <v>^</v>
      </c>
      <c r="AK3" s="51" t="str">
        <f>IF(MAX(AK17:AK20)=AK17,$AI$17,IF(MAX(AK17:AK20)=AK18,$AI$18,IF(MAX(AK17:AK20)=AK19,$AI$19,$AI$20)))</f>
        <v>^</v>
      </c>
      <c r="AL3" s="6"/>
      <c r="AM3" s="5">
        <v>1</v>
      </c>
      <c r="AN3" s="51" t="str">
        <f>IF(MAX(AN17:AN20)=AN17,$AI$17,IF(MAX(AN17:AN20)=AN18,$AI$18,IF(MAX(AN17:AN20)=AN19,$AI$19,$AI$20)))</f>
        <v>&lt;</v>
      </c>
      <c r="AO3" s="6"/>
      <c r="AP3" s="51" t="str">
        <f>IF(MAX(AP17:AP20)=AP17,$AI$17,IF(MAX(AP17:AP20)=AP18,$AI$18,IF(MAX(AP17:AP20)=AP19,$AI$19,$AI$20)))</f>
        <v>^</v>
      </c>
      <c r="AQ3" s="51" t="str">
        <f t="shared" ref="AQ3:AX3" si="5">IF(MAX(AQ17:AQ20)=AQ17,$AI$17,IF(MAX(AQ17:AQ20)=AQ18,$AI$18,IF(MAX(AQ17:AQ20)=AQ19,$AI$19,$AI$20)))</f>
        <v>^</v>
      </c>
      <c r="AR3" s="51" t="str">
        <f t="shared" si="5"/>
        <v>^</v>
      </c>
      <c r="AS3" s="6"/>
      <c r="AT3" s="51" t="str">
        <f t="shared" si="5"/>
        <v>^</v>
      </c>
      <c r="AU3" s="51" t="str">
        <f t="shared" si="5"/>
        <v>^</v>
      </c>
      <c r="AV3" s="51" t="str">
        <f t="shared" si="5"/>
        <v>v</v>
      </c>
      <c r="AW3" s="4">
        <v>-1</v>
      </c>
      <c r="AX3" s="51" t="str">
        <f t="shared" si="5"/>
        <v>&gt;</v>
      </c>
      <c r="BA3" s="3">
        <f t="shared" ref="BA3:BA6" si="6">S3-0.04</f>
        <v>-0.04</v>
      </c>
      <c r="BB3" s="3">
        <f t="shared" si="2"/>
        <v>-0.04</v>
      </c>
      <c r="BC3" s="1"/>
      <c r="BD3" s="52">
        <v>1</v>
      </c>
      <c r="BE3" s="3">
        <f t="shared" si="2"/>
        <v>0.86</v>
      </c>
      <c r="BF3" s="1"/>
      <c r="BG3" s="3">
        <f t="shared" si="3"/>
        <v>-0.04</v>
      </c>
      <c r="BH3" s="3">
        <f t="shared" si="3"/>
        <v>-0.04</v>
      </c>
      <c r="BI3" s="3">
        <f t="shared" si="3"/>
        <v>-0.04</v>
      </c>
      <c r="BJ3" s="1"/>
      <c r="BK3" s="3">
        <f t="shared" si="3"/>
        <v>-0.04</v>
      </c>
      <c r="BL3" s="3">
        <f t="shared" si="3"/>
        <v>-0.04</v>
      </c>
      <c r="BM3" s="3">
        <f t="shared" si="3"/>
        <v>0.76</v>
      </c>
      <c r="BN3" s="53">
        <v>-1</v>
      </c>
      <c r="BO3" s="3">
        <f t="shared" si="3"/>
        <v>-0.04</v>
      </c>
      <c r="BR3" s="54">
        <f t="shared" ref="BR3:BT11" si="7">ROUND(100*(BA3-B3),3)</f>
        <v>-4</v>
      </c>
      <c r="BS3" s="54">
        <f t="shared" si="7"/>
        <v>-4</v>
      </c>
      <c r="BT3" s="54"/>
      <c r="BU3" s="54">
        <f t="shared" si="4"/>
        <v>0</v>
      </c>
      <c r="BV3" s="54">
        <f t="shared" si="4"/>
        <v>86</v>
      </c>
      <c r="BW3" s="54"/>
      <c r="BX3" s="54">
        <f t="shared" si="4"/>
        <v>-4</v>
      </c>
      <c r="BY3" s="54">
        <f t="shared" si="4"/>
        <v>-4</v>
      </c>
      <c r="BZ3" s="54">
        <f t="shared" si="4"/>
        <v>-4</v>
      </c>
      <c r="CA3" s="54"/>
      <c r="CB3" s="54">
        <f t="shared" si="4"/>
        <v>-4</v>
      </c>
      <c r="CC3" s="54">
        <f t="shared" si="4"/>
        <v>-4</v>
      </c>
      <c r="CD3" s="54">
        <f t="shared" si="4"/>
        <v>76</v>
      </c>
      <c r="CE3" s="54">
        <f t="shared" si="4"/>
        <v>0</v>
      </c>
      <c r="CF3" s="54">
        <f t="shared" si="4"/>
        <v>-4</v>
      </c>
      <c r="CG3" s="55">
        <f t="shared" ref="CG3:CG11" si="8">SUM(BR3:CF3)</f>
        <v>130</v>
      </c>
    </row>
    <row r="4" spans="2:85" ht="37.5" customHeight="1">
      <c r="B4" s="2">
        <v>0</v>
      </c>
      <c r="C4" s="2">
        <v>0</v>
      </c>
      <c r="D4" s="57" t="s">
        <v>14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4">
        <v>-1</v>
      </c>
      <c r="L4" s="2">
        <v>0</v>
      </c>
      <c r="M4" s="2">
        <v>0</v>
      </c>
      <c r="N4" s="5">
        <v>1</v>
      </c>
      <c r="O4" s="2">
        <v>0</v>
      </c>
      <c r="P4" s="2">
        <v>0</v>
      </c>
      <c r="S4" s="2">
        <f>MAX(S21:S24)</f>
        <v>0</v>
      </c>
      <c r="T4" s="2">
        <f>MAX(T21:T24)</f>
        <v>0</v>
      </c>
      <c r="U4" s="6"/>
      <c r="V4" s="2">
        <f t="shared" ref="V4:AA4" si="9">MAX(V21:V24)</f>
        <v>0.8</v>
      </c>
      <c r="W4" s="2">
        <f t="shared" si="9"/>
        <v>0</v>
      </c>
      <c r="X4" s="2">
        <f t="shared" si="9"/>
        <v>0</v>
      </c>
      <c r="Y4" s="2">
        <f t="shared" si="9"/>
        <v>0</v>
      </c>
      <c r="Z4" s="2">
        <f t="shared" si="9"/>
        <v>0</v>
      </c>
      <c r="AA4" s="2">
        <f t="shared" si="9"/>
        <v>0</v>
      </c>
      <c r="AB4" s="4">
        <v>-1</v>
      </c>
      <c r="AC4" s="2">
        <f>MAX(AC21:AC24)</f>
        <v>0</v>
      </c>
      <c r="AD4" s="2">
        <f>MAX(AD21:AD24)</f>
        <v>0.8</v>
      </c>
      <c r="AE4" s="5">
        <v>1</v>
      </c>
      <c r="AF4" s="2">
        <f>MAX(AF21:AF24)</f>
        <v>0.8</v>
      </c>
      <c r="AG4" s="2">
        <f>MAX(AG21:AG24)</f>
        <v>0</v>
      </c>
      <c r="AJ4" s="51" t="str">
        <f>IF(MAX(AJ21:AJ24)=AJ21,$AI$21,IF(MAX(AJ21:AJ24)=AJ22,$AI$22,IF(MAX(AJ21:AJ24)=AJ23,$AI$23,$AI$24)))</f>
        <v>^</v>
      </c>
      <c r="AK4" s="51" t="str">
        <f>IF(MAX(AK21:AK24)=AK21,$AI$21,IF(MAX(AK21:AK24)=AK22,$AI$22,IF(MAX(AK21:AK24)=AK23,$AI$23,$AI$24)))</f>
        <v>^</v>
      </c>
      <c r="AL4" s="6"/>
      <c r="AM4" s="51" t="str">
        <f>IF(MAX(AM21:AM24)=AM21,$AI$21,IF(MAX(AM21:AM24)=AM22,$AI$22,IF(MAX(AM21:AM24)=AM23,$AI$23,$AI$24)))</f>
        <v>^</v>
      </c>
      <c r="AN4" s="51" t="str">
        <f t="shared" ref="AN4:AX4" si="10">IF(MAX(AN21:AN24)=AN21,$AI$21,IF(MAX(AN21:AN24)=AN22,$AI$22,IF(MAX(AN21:AN24)=AN23,$AI$23,$AI$24)))</f>
        <v>^</v>
      </c>
      <c r="AO4" s="51" t="str">
        <f t="shared" si="10"/>
        <v>^</v>
      </c>
      <c r="AP4" s="51" t="str">
        <f t="shared" si="10"/>
        <v>^</v>
      </c>
      <c r="AQ4" s="51" t="str">
        <f t="shared" si="10"/>
        <v>^</v>
      </c>
      <c r="AR4" s="51" t="str">
        <f t="shared" si="10"/>
        <v>&lt;</v>
      </c>
      <c r="AS4" s="4">
        <v>-1</v>
      </c>
      <c r="AT4" s="51" t="str">
        <f t="shared" si="10"/>
        <v>&gt;</v>
      </c>
      <c r="AU4" s="51" t="str">
        <f t="shared" si="10"/>
        <v>&gt;</v>
      </c>
      <c r="AV4" s="5">
        <v>1</v>
      </c>
      <c r="AW4" s="51" t="str">
        <f t="shared" si="10"/>
        <v>&lt;</v>
      </c>
      <c r="AX4" s="51" t="str">
        <f t="shared" si="10"/>
        <v>^</v>
      </c>
      <c r="BA4" s="3">
        <f t="shared" si="6"/>
        <v>-0.04</v>
      </c>
      <c r="BB4" s="3">
        <f t="shared" si="2"/>
        <v>-0.04</v>
      </c>
      <c r="BC4" s="1"/>
      <c r="BD4" s="3">
        <f t="shared" si="2"/>
        <v>0.76</v>
      </c>
      <c r="BE4" s="3">
        <f t="shared" si="2"/>
        <v>-0.04</v>
      </c>
      <c r="BF4" s="3">
        <f t="shared" si="2"/>
        <v>-0.04</v>
      </c>
      <c r="BG4" s="3">
        <f t="shared" si="3"/>
        <v>-0.04</v>
      </c>
      <c r="BH4" s="3">
        <f t="shared" si="3"/>
        <v>-0.04</v>
      </c>
      <c r="BI4" s="3">
        <f t="shared" si="3"/>
        <v>-0.04</v>
      </c>
      <c r="BJ4" s="53">
        <v>-1</v>
      </c>
      <c r="BK4" s="3">
        <f t="shared" si="3"/>
        <v>-0.04</v>
      </c>
      <c r="BL4" s="3">
        <f t="shared" si="3"/>
        <v>0.76</v>
      </c>
      <c r="BM4" s="52">
        <v>1</v>
      </c>
      <c r="BN4" s="3">
        <f t="shared" si="3"/>
        <v>0.76</v>
      </c>
      <c r="BO4" s="3">
        <f t="shared" si="3"/>
        <v>-0.04</v>
      </c>
      <c r="BR4" s="54">
        <f t="shared" si="7"/>
        <v>-4</v>
      </c>
      <c r="BS4" s="54">
        <f t="shared" si="7"/>
        <v>-4</v>
      </c>
      <c r="BT4" s="54"/>
      <c r="BU4" s="54">
        <f t="shared" si="4"/>
        <v>76</v>
      </c>
      <c r="BV4" s="54">
        <f t="shared" si="4"/>
        <v>-4</v>
      </c>
      <c r="BW4" s="54">
        <f t="shared" si="4"/>
        <v>-4</v>
      </c>
      <c r="BX4" s="54">
        <f t="shared" si="4"/>
        <v>-4</v>
      </c>
      <c r="BY4" s="54">
        <f t="shared" si="4"/>
        <v>-4</v>
      </c>
      <c r="BZ4" s="54">
        <f t="shared" si="4"/>
        <v>-4</v>
      </c>
      <c r="CA4" s="54">
        <f t="shared" si="4"/>
        <v>0</v>
      </c>
      <c r="CB4" s="54">
        <f t="shared" si="4"/>
        <v>-4</v>
      </c>
      <c r="CC4" s="54">
        <f t="shared" si="4"/>
        <v>76</v>
      </c>
      <c r="CD4" s="54">
        <f t="shared" si="4"/>
        <v>0</v>
      </c>
      <c r="CE4" s="54">
        <f t="shared" si="4"/>
        <v>76</v>
      </c>
      <c r="CF4" s="54">
        <f t="shared" si="4"/>
        <v>-4</v>
      </c>
      <c r="CG4" s="55">
        <f t="shared" si="8"/>
        <v>192</v>
      </c>
    </row>
    <row r="5" spans="2:85" ht="37.5" customHeight="1"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57" t="s">
        <v>14</v>
      </c>
      <c r="P5" s="57" t="s">
        <v>14</v>
      </c>
      <c r="S5" s="2">
        <f>MAX(S25:S28)</f>
        <v>0</v>
      </c>
      <c r="T5" s="2">
        <f t="shared" ref="T5:AE5" si="11">MAX(T25:T28)</f>
        <v>0</v>
      </c>
      <c r="U5" s="2">
        <f t="shared" si="11"/>
        <v>0</v>
      </c>
      <c r="V5" s="2">
        <f t="shared" si="11"/>
        <v>0</v>
      </c>
      <c r="W5" s="2">
        <f t="shared" si="11"/>
        <v>0</v>
      </c>
      <c r="X5" s="2">
        <f t="shared" si="11"/>
        <v>0</v>
      </c>
      <c r="Y5" s="2">
        <f t="shared" si="11"/>
        <v>0</v>
      </c>
      <c r="Z5" s="2">
        <f t="shared" si="11"/>
        <v>0</v>
      </c>
      <c r="AA5" s="2">
        <f t="shared" si="11"/>
        <v>0</v>
      </c>
      <c r="AB5" s="2">
        <f t="shared" si="11"/>
        <v>0</v>
      </c>
      <c r="AC5" s="2">
        <f t="shared" si="11"/>
        <v>0</v>
      </c>
      <c r="AD5" s="2">
        <f t="shared" si="11"/>
        <v>0</v>
      </c>
      <c r="AE5" s="2">
        <f t="shared" si="11"/>
        <v>0.8</v>
      </c>
      <c r="AF5" s="6"/>
      <c r="AG5" s="6"/>
      <c r="AJ5" s="51" t="str">
        <f>IF(MAX(AJ25:AJ28)=AJ25,$AI$25,IF(MAX(AJ25:AJ28)=AJ26,$AI$26,IF(MAX(AJ25:AJ28)=AJ27,$AI$27,$AI$28)))</f>
        <v>^</v>
      </c>
      <c r="AK5" s="51" t="str">
        <f t="shared" ref="AK5:AV5" si="12">IF(MAX(AK25:AK28)=AK25,$AI$25,IF(MAX(AK25:AK28)=AK26,$AI$26,IF(MAX(AK25:AK28)=AK27,$AI$27,$AI$28)))</f>
        <v>^</v>
      </c>
      <c r="AL5" s="51" t="str">
        <f t="shared" si="12"/>
        <v>^</v>
      </c>
      <c r="AM5" s="51" t="str">
        <f t="shared" si="12"/>
        <v>^</v>
      </c>
      <c r="AN5" s="51" t="str">
        <f t="shared" si="12"/>
        <v>^</v>
      </c>
      <c r="AO5" s="51" t="str">
        <f t="shared" si="12"/>
        <v>^</v>
      </c>
      <c r="AP5" s="51" t="str">
        <f t="shared" si="12"/>
        <v>^</v>
      </c>
      <c r="AQ5" s="51" t="str">
        <f t="shared" si="12"/>
        <v>^</v>
      </c>
      <c r="AR5" s="51" t="str">
        <f t="shared" si="12"/>
        <v>^</v>
      </c>
      <c r="AS5" s="51" t="str">
        <f t="shared" si="12"/>
        <v>v</v>
      </c>
      <c r="AT5" s="51" t="str">
        <f t="shared" si="12"/>
        <v>^</v>
      </c>
      <c r="AU5" s="51" t="str">
        <f t="shared" si="12"/>
        <v>^</v>
      </c>
      <c r="AV5" s="51" t="str">
        <f t="shared" si="12"/>
        <v>^</v>
      </c>
      <c r="AW5" s="6"/>
      <c r="AX5" s="6"/>
      <c r="BA5" s="3">
        <f t="shared" si="6"/>
        <v>-0.04</v>
      </c>
      <c r="BB5" s="3">
        <f>T5-0.04</f>
        <v>-0.04</v>
      </c>
      <c r="BC5" s="3">
        <f t="shared" ref="BC5:BC11" si="13">U5-0.04</f>
        <v>-0.04</v>
      </c>
      <c r="BD5" s="3">
        <f t="shared" si="2"/>
        <v>-0.04</v>
      </c>
      <c r="BE5" s="3">
        <f t="shared" si="2"/>
        <v>-0.04</v>
      </c>
      <c r="BF5" s="3">
        <f t="shared" si="2"/>
        <v>-0.04</v>
      </c>
      <c r="BG5" s="3">
        <f t="shared" si="3"/>
        <v>-0.04</v>
      </c>
      <c r="BH5" s="3">
        <f t="shared" si="3"/>
        <v>-0.04</v>
      </c>
      <c r="BI5" s="3">
        <f t="shared" si="3"/>
        <v>-0.04</v>
      </c>
      <c r="BJ5" s="3">
        <f t="shared" si="3"/>
        <v>-0.04</v>
      </c>
      <c r="BK5" s="3">
        <f t="shared" si="3"/>
        <v>-0.04</v>
      </c>
      <c r="BL5" s="3">
        <f t="shared" si="3"/>
        <v>-0.04</v>
      </c>
      <c r="BM5" s="3">
        <f t="shared" si="3"/>
        <v>0.76</v>
      </c>
      <c r="BN5" s="1"/>
      <c r="BO5" s="1"/>
      <c r="BR5" s="54">
        <f t="shared" si="7"/>
        <v>-4</v>
      </c>
      <c r="BS5" s="54">
        <f t="shared" si="7"/>
        <v>-4</v>
      </c>
      <c r="BT5" s="54">
        <f t="shared" si="7"/>
        <v>-4</v>
      </c>
      <c r="BU5" s="54">
        <f t="shared" si="4"/>
        <v>-4</v>
      </c>
      <c r="BV5" s="54">
        <f t="shared" si="4"/>
        <v>-4</v>
      </c>
      <c r="BW5" s="54">
        <f t="shared" si="4"/>
        <v>-4</v>
      </c>
      <c r="BX5" s="54">
        <f t="shared" si="4"/>
        <v>-4</v>
      </c>
      <c r="BY5" s="54">
        <f t="shared" si="4"/>
        <v>-4</v>
      </c>
      <c r="BZ5" s="54">
        <f t="shared" si="4"/>
        <v>-4</v>
      </c>
      <c r="CA5" s="54">
        <f t="shared" si="4"/>
        <v>-4</v>
      </c>
      <c r="CB5" s="54">
        <f t="shared" si="4"/>
        <v>-4</v>
      </c>
      <c r="CC5" s="54">
        <f t="shared" si="4"/>
        <v>-4</v>
      </c>
      <c r="CD5" s="54">
        <f t="shared" si="4"/>
        <v>76</v>
      </c>
      <c r="CE5" s="54"/>
      <c r="CF5" s="54"/>
      <c r="CG5" s="55">
        <f t="shared" si="8"/>
        <v>28</v>
      </c>
    </row>
    <row r="6" spans="2:85" ht="37.5" customHeight="1">
      <c r="B6" s="2">
        <v>0</v>
      </c>
      <c r="C6" s="2">
        <v>0</v>
      </c>
      <c r="D6" s="2">
        <v>0</v>
      </c>
      <c r="E6" s="2">
        <v>0</v>
      </c>
      <c r="F6" s="57" t="s">
        <v>14</v>
      </c>
      <c r="G6" s="2">
        <v>0</v>
      </c>
      <c r="H6" s="2">
        <v>0</v>
      </c>
      <c r="I6" s="57" t="s">
        <v>14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S6" s="2">
        <f>MAX(S29:S32)</f>
        <v>0</v>
      </c>
      <c r="T6" s="2">
        <f t="shared" ref="T6:V6" si="14">MAX(T29:T32)</f>
        <v>0</v>
      </c>
      <c r="U6" s="2">
        <f t="shared" si="14"/>
        <v>0</v>
      </c>
      <c r="V6" s="2">
        <f t="shared" si="14"/>
        <v>0</v>
      </c>
      <c r="W6" s="6"/>
      <c r="X6" s="2">
        <f>MAX(X29:X32)</f>
        <v>0</v>
      </c>
      <c r="Y6" s="2">
        <f>MAX(Y29:Y32)</f>
        <v>0</v>
      </c>
      <c r="Z6" s="6"/>
      <c r="AA6" s="2">
        <f>MAX(AA29:AA32)</f>
        <v>0</v>
      </c>
      <c r="AB6" s="2">
        <f t="shared" ref="AB6:AG6" si="15">MAX(AB29:AB32)</f>
        <v>0</v>
      </c>
      <c r="AC6" s="2">
        <f t="shared" si="15"/>
        <v>0</v>
      </c>
      <c r="AD6" s="2">
        <f t="shared" si="15"/>
        <v>0</v>
      </c>
      <c r="AE6" s="2">
        <f t="shared" si="15"/>
        <v>0</v>
      </c>
      <c r="AF6" s="2">
        <f t="shared" si="15"/>
        <v>0</v>
      </c>
      <c r="AG6" s="2">
        <f t="shared" si="15"/>
        <v>0</v>
      </c>
      <c r="AJ6" s="51" t="str">
        <f>IF(MAX(AJ29:AJ32)=AJ29,$AI$29,IF(MAX(AJ29:AJ32)=AJ30,$AI$30,IF(MAX(AJ29:AJ32)=AJ31,$AI$31,$AI$32)))</f>
        <v>^</v>
      </c>
      <c r="AK6" s="51" t="str">
        <f t="shared" ref="AK6:AX6" si="16">IF(MAX(AK29:AK32)=AK29,$AI$29,IF(MAX(AK29:AK32)=AK30,$AI$30,IF(MAX(AK29:AK32)=AK31,$AI$31,$AI$32)))</f>
        <v>^</v>
      </c>
      <c r="AL6" s="51" t="str">
        <f t="shared" si="16"/>
        <v>^</v>
      </c>
      <c r="AM6" s="51" t="str">
        <f t="shared" si="16"/>
        <v>^</v>
      </c>
      <c r="AN6" s="6"/>
      <c r="AO6" s="51" t="str">
        <f t="shared" si="16"/>
        <v>^</v>
      </c>
      <c r="AP6" s="51" t="str">
        <f t="shared" si="16"/>
        <v>^</v>
      </c>
      <c r="AQ6" s="6"/>
      <c r="AR6" s="51" t="str">
        <f t="shared" si="16"/>
        <v>^</v>
      </c>
      <c r="AS6" s="51" t="str">
        <f t="shared" si="16"/>
        <v>^</v>
      </c>
      <c r="AT6" s="51" t="str">
        <f t="shared" si="16"/>
        <v>^</v>
      </c>
      <c r="AU6" s="51" t="str">
        <f t="shared" si="16"/>
        <v>^</v>
      </c>
      <c r="AV6" s="51" t="str">
        <f t="shared" si="16"/>
        <v>^</v>
      </c>
      <c r="AW6" s="51" t="str">
        <f t="shared" si="16"/>
        <v>^</v>
      </c>
      <c r="AX6" s="51" t="str">
        <f t="shared" si="16"/>
        <v>^</v>
      </c>
      <c r="BA6" s="3">
        <f t="shared" si="6"/>
        <v>-0.04</v>
      </c>
      <c r="BB6" s="3">
        <f t="shared" si="2"/>
        <v>-0.04</v>
      </c>
      <c r="BC6" s="3">
        <f t="shared" si="13"/>
        <v>-0.04</v>
      </c>
      <c r="BD6" s="3">
        <f t="shared" si="2"/>
        <v>-0.04</v>
      </c>
      <c r="BE6" s="1"/>
      <c r="BF6" s="3">
        <f t="shared" si="2"/>
        <v>-0.04</v>
      </c>
      <c r="BG6" s="3">
        <f t="shared" si="2"/>
        <v>-0.04</v>
      </c>
      <c r="BH6" s="1"/>
      <c r="BI6" s="3">
        <f t="shared" si="3"/>
        <v>-0.04</v>
      </c>
      <c r="BJ6" s="3">
        <f t="shared" si="3"/>
        <v>-0.04</v>
      </c>
      <c r="BK6" s="3">
        <f t="shared" si="3"/>
        <v>-0.04</v>
      </c>
      <c r="BL6" s="3">
        <f t="shared" si="3"/>
        <v>-0.04</v>
      </c>
      <c r="BM6" s="3">
        <f t="shared" si="3"/>
        <v>-0.04</v>
      </c>
      <c r="BN6" s="3">
        <f t="shared" si="3"/>
        <v>-0.04</v>
      </c>
      <c r="BO6" s="3">
        <f t="shared" si="3"/>
        <v>-0.04</v>
      </c>
      <c r="BR6" s="54">
        <f t="shared" si="7"/>
        <v>-4</v>
      </c>
      <c r="BS6" s="54">
        <f t="shared" si="7"/>
        <v>-4</v>
      </c>
      <c r="BT6" s="54">
        <f t="shared" si="7"/>
        <v>-4</v>
      </c>
      <c r="BU6" s="54">
        <f t="shared" si="4"/>
        <v>-4</v>
      </c>
      <c r="BV6" s="54"/>
      <c r="BW6" s="54">
        <f t="shared" si="4"/>
        <v>-4</v>
      </c>
      <c r="BX6" s="54">
        <f t="shared" si="4"/>
        <v>-4</v>
      </c>
      <c r="BY6" s="54"/>
      <c r="BZ6" s="54">
        <f t="shared" si="4"/>
        <v>-4</v>
      </c>
      <c r="CA6" s="54">
        <f t="shared" si="4"/>
        <v>-4</v>
      </c>
      <c r="CB6" s="54">
        <f t="shared" si="4"/>
        <v>-4</v>
      </c>
      <c r="CC6" s="54">
        <f t="shared" si="4"/>
        <v>-4</v>
      </c>
      <c r="CD6" s="54">
        <f t="shared" si="4"/>
        <v>-4</v>
      </c>
      <c r="CE6" s="54">
        <f t="shared" si="4"/>
        <v>-4</v>
      </c>
      <c r="CF6" s="54">
        <f t="shared" si="4"/>
        <v>-4</v>
      </c>
      <c r="CG6" s="55">
        <f t="shared" si="8"/>
        <v>-52</v>
      </c>
    </row>
    <row r="7" spans="2:85" ht="37.5" customHeight="1">
      <c r="B7" s="4">
        <v>-1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57" t="s">
        <v>14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S7" s="4">
        <v>-1</v>
      </c>
      <c r="T7" s="2">
        <f>MAX(T33:T36)</f>
        <v>0</v>
      </c>
      <c r="U7" s="2">
        <f t="shared" ref="U7:AG7" si="17">MAX(U33:U36)</f>
        <v>0</v>
      </c>
      <c r="V7" s="2">
        <f t="shared" si="17"/>
        <v>0</v>
      </c>
      <c r="W7" s="2">
        <f t="shared" si="17"/>
        <v>0</v>
      </c>
      <c r="X7" s="2">
        <f t="shared" si="17"/>
        <v>0</v>
      </c>
      <c r="Y7" s="2">
        <f t="shared" si="17"/>
        <v>0</v>
      </c>
      <c r="Z7" s="6"/>
      <c r="AA7" s="2">
        <f t="shared" si="17"/>
        <v>0</v>
      </c>
      <c r="AB7" s="2">
        <f t="shared" si="17"/>
        <v>0</v>
      </c>
      <c r="AC7" s="2">
        <f t="shared" si="17"/>
        <v>0</v>
      </c>
      <c r="AD7" s="2">
        <f t="shared" si="17"/>
        <v>0</v>
      </c>
      <c r="AE7" s="2">
        <f t="shared" si="17"/>
        <v>0</v>
      </c>
      <c r="AF7" s="2">
        <f t="shared" si="17"/>
        <v>0</v>
      </c>
      <c r="AG7" s="2">
        <f t="shared" si="17"/>
        <v>0</v>
      </c>
      <c r="AJ7" s="4">
        <v>-1</v>
      </c>
      <c r="AK7" s="51" t="str">
        <f>IF(MAX(AK33:AK36)=AK33,$AI$33,IF(MAX(AK33:AK36)=AK34,$AI$34,IF(MAX(AK33:AK36)=AK35,$AI$35,$AI$36)))</f>
        <v>&gt;</v>
      </c>
      <c r="AL7" s="51" t="str">
        <f t="shared" ref="AL7:AX7" si="18">IF(MAX(AL33:AL36)=AL33,$AI$33,IF(MAX(AL33:AL36)=AL34,$AI$34,IF(MAX(AL33:AL36)=AL35,$AI$35,$AI$36)))</f>
        <v>^</v>
      </c>
      <c r="AM7" s="51" t="str">
        <f t="shared" si="18"/>
        <v>^</v>
      </c>
      <c r="AN7" s="51" t="str">
        <f t="shared" si="18"/>
        <v>^</v>
      </c>
      <c r="AO7" s="51" t="str">
        <f t="shared" si="18"/>
        <v>^</v>
      </c>
      <c r="AP7" s="51" t="str">
        <f t="shared" si="18"/>
        <v>^</v>
      </c>
      <c r="AQ7" s="6"/>
      <c r="AR7" s="51" t="str">
        <f t="shared" si="18"/>
        <v>^</v>
      </c>
      <c r="AS7" s="51" t="str">
        <f t="shared" si="18"/>
        <v>^</v>
      </c>
      <c r="AT7" s="51" t="str">
        <f t="shared" si="18"/>
        <v>^</v>
      </c>
      <c r="AU7" s="51" t="str">
        <f t="shared" si="18"/>
        <v>^</v>
      </c>
      <c r="AV7" s="51" t="str">
        <f t="shared" si="18"/>
        <v>^</v>
      </c>
      <c r="AW7" s="51" t="str">
        <f t="shared" si="18"/>
        <v>^</v>
      </c>
      <c r="AX7" s="51" t="str">
        <f t="shared" si="18"/>
        <v>^</v>
      </c>
      <c r="BA7" s="53">
        <v>-1</v>
      </c>
      <c r="BB7" s="3">
        <f t="shared" si="2"/>
        <v>-0.04</v>
      </c>
      <c r="BC7" s="3">
        <f t="shared" si="13"/>
        <v>-0.04</v>
      </c>
      <c r="BD7" s="3">
        <f t="shared" si="2"/>
        <v>-0.04</v>
      </c>
      <c r="BE7" s="3">
        <f t="shared" si="2"/>
        <v>-0.04</v>
      </c>
      <c r="BF7" s="3">
        <f t="shared" si="2"/>
        <v>-0.04</v>
      </c>
      <c r="BG7" s="3">
        <f>Y7-0.04</f>
        <v>-0.04</v>
      </c>
      <c r="BH7" s="1"/>
      <c r="BI7" s="3">
        <f t="shared" si="3"/>
        <v>-0.04</v>
      </c>
      <c r="BJ7" s="3">
        <f t="shared" si="3"/>
        <v>-0.04</v>
      </c>
      <c r="BK7" s="3">
        <f t="shared" si="3"/>
        <v>-0.04</v>
      </c>
      <c r="BL7" s="3">
        <f t="shared" si="3"/>
        <v>-0.04</v>
      </c>
      <c r="BM7" s="3">
        <f t="shared" si="3"/>
        <v>-0.04</v>
      </c>
      <c r="BN7" s="3">
        <f t="shared" si="3"/>
        <v>-0.04</v>
      </c>
      <c r="BO7" s="3">
        <f t="shared" si="3"/>
        <v>-0.04</v>
      </c>
      <c r="BR7" s="54">
        <f t="shared" si="7"/>
        <v>0</v>
      </c>
      <c r="BS7" s="54">
        <f t="shared" si="7"/>
        <v>-4</v>
      </c>
      <c r="BT7" s="54">
        <f t="shared" si="7"/>
        <v>-4</v>
      </c>
      <c r="BU7" s="54">
        <f t="shared" si="4"/>
        <v>-4</v>
      </c>
      <c r="BV7" s="54">
        <f t="shared" si="4"/>
        <v>-4</v>
      </c>
      <c r="BW7" s="54">
        <f t="shared" si="4"/>
        <v>-4</v>
      </c>
      <c r="BX7" s="54">
        <f t="shared" si="4"/>
        <v>-4</v>
      </c>
      <c r="BY7" s="54"/>
      <c r="BZ7" s="54">
        <f t="shared" si="4"/>
        <v>-4</v>
      </c>
      <c r="CA7" s="54">
        <f t="shared" si="4"/>
        <v>-4</v>
      </c>
      <c r="CB7" s="54">
        <f t="shared" si="4"/>
        <v>-4</v>
      </c>
      <c r="CC7" s="54">
        <f t="shared" si="4"/>
        <v>-4</v>
      </c>
      <c r="CD7" s="54">
        <f t="shared" si="4"/>
        <v>-4</v>
      </c>
      <c r="CE7" s="54">
        <f t="shared" si="4"/>
        <v>-4</v>
      </c>
      <c r="CF7" s="54">
        <f t="shared" si="4"/>
        <v>-4</v>
      </c>
      <c r="CG7" s="55">
        <f t="shared" si="8"/>
        <v>-52</v>
      </c>
    </row>
    <row r="8" spans="2:85" ht="37.5" customHeight="1"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57" t="s">
        <v>14</v>
      </c>
      <c r="M8" s="57" t="s">
        <v>14</v>
      </c>
      <c r="N8" s="2">
        <v>0</v>
      </c>
      <c r="O8" s="2">
        <v>0</v>
      </c>
      <c r="P8" s="2">
        <v>0</v>
      </c>
      <c r="S8" s="2">
        <f>MAX(S37:S40)</f>
        <v>0</v>
      </c>
      <c r="T8" s="2">
        <f t="shared" ref="T8:AB8" si="19">MAX(T37:T40)</f>
        <v>0</v>
      </c>
      <c r="U8" s="2">
        <f t="shared" si="19"/>
        <v>0</v>
      </c>
      <c r="V8" s="2">
        <f t="shared" si="19"/>
        <v>0</v>
      </c>
      <c r="W8" s="2">
        <f t="shared" si="19"/>
        <v>0.9</v>
      </c>
      <c r="X8" s="2">
        <f t="shared" si="19"/>
        <v>0</v>
      </c>
      <c r="Y8" s="2">
        <f t="shared" si="19"/>
        <v>0</v>
      </c>
      <c r="Z8" s="2">
        <f t="shared" si="19"/>
        <v>0</v>
      </c>
      <c r="AA8" s="2">
        <f t="shared" si="19"/>
        <v>0</v>
      </c>
      <c r="AB8" s="2">
        <f t="shared" si="19"/>
        <v>0</v>
      </c>
      <c r="AC8" s="6"/>
      <c r="AD8" s="6"/>
      <c r="AE8" s="2">
        <f t="shared" ref="AE8:AG8" si="20">MAX(AE37:AE40)</f>
        <v>0</v>
      </c>
      <c r="AF8" s="2">
        <f t="shared" si="20"/>
        <v>0</v>
      </c>
      <c r="AG8" s="2">
        <f t="shared" si="20"/>
        <v>0</v>
      </c>
      <c r="AJ8" s="51" t="str">
        <f>IF(MAX(AJ37:AJ40)=AJ37,$AI$37,IF(MAX(AJ37:AJ40)=AJ38,$AI$38,IF(MAX(AJ37:AJ40)=AJ39,$AI$39,$AI$40)))</f>
        <v>v</v>
      </c>
      <c r="AK8" s="51" t="str">
        <f t="shared" ref="AK8:AS8" si="21">IF(MAX(AK37:AK40)=AK37,$AI$37,IF(MAX(AK37:AK40)=AK38,$AI$38,IF(MAX(AK37:AK40)=AK39,$AI$39,$AI$40)))</f>
        <v>^</v>
      </c>
      <c r="AL8" s="51" t="str">
        <f t="shared" si="21"/>
        <v>^</v>
      </c>
      <c r="AM8" s="51" t="str">
        <f t="shared" si="21"/>
        <v>^</v>
      </c>
      <c r="AN8" s="51" t="str">
        <f t="shared" si="21"/>
        <v>v</v>
      </c>
      <c r="AO8" s="51" t="str">
        <f t="shared" si="21"/>
        <v>^</v>
      </c>
      <c r="AP8" s="51" t="str">
        <f t="shared" si="21"/>
        <v>^</v>
      </c>
      <c r="AQ8" s="51" t="str">
        <f t="shared" si="21"/>
        <v>^</v>
      </c>
      <c r="AR8" s="51" t="str">
        <f t="shared" si="21"/>
        <v>^</v>
      </c>
      <c r="AS8" s="51" t="str">
        <f t="shared" si="21"/>
        <v>^</v>
      </c>
      <c r="AT8" s="6"/>
      <c r="AU8" s="6"/>
      <c r="AV8" s="51" t="str">
        <f t="shared" ref="AV8:AX8" si="22">IF(MAX(AV37:AV40)=AV37,$AI$37,IF(MAX(AV37:AV40)=AV38,$AI$38,IF(MAX(AV37:AV40)=AV39,$AI$39,$AI$40)))</f>
        <v>^</v>
      </c>
      <c r="AW8" s="51" t="str">
        <f t="shared" si="22"/>
        <v>^</v>
      </c>
      <c r="AX8" s="51" t="str">
        <f t="shared" si="22"/>
        <v>^</v>
      </c>
      <c r="BA8" s="3">
        <f t="shared" si="2"/>
        <v>-0.04</v>
      </c>
      <c r="BB8" s="3">
        <f t="shared" si="2"/>
        <v>-0.04</v>
      </c>
      <c r="BC8" s="3">
        <f t="shared" si="13"/>
        <v>-0.04</v>
      </c>
      <c r="BD8" s="3">
        <f t="shared" si="2"/>
        <v>-0.04</v>
      </c>
      <c r="BE8" s="3">
        <f t="shared" si="2"/>
        <v>0.86</v>
      </c>
      <c r="BF8" s="3">
        <f t="shared" si="2"/>
        <v>-0.04</v>
      </c>
      <c r="BG8" s="3">
        <f t="shared" si="2"/>
        <v>-0.04</v>
      </c>
      <c r="BH8" s="3">
        <f t="shared" si="2"/>
        <v>-0.04</v>
      </c>
      <c r="BI8" s="3">
        <f t="shared" si="3"/>
        <v>-0.04</v>
      </c>
      <c r="BJ8" s="3">
        <f t="shared" si="3"/>
        <v>-0.04</v>
      </c>
      <c r="BK8" s="1"/>
      <c r="BL8" s="1"/>
      <c r="BM8" s="3">
        <f t="shared" si="3"/>
        <v>-0.04</v>
      </c>
      <c r="BN8" s="3">
        <f t="shared" si="3"/>
        <v>-0.04</v>
      </c>
      <c r="BO8" s="3">
        <f t="shared" si="3"/>
        <v>-0.04</v>
      </c>
      <c r="BR8" s="54">
        <f t="shared" si="7"/>
        <v>-4</v>
      </c>
      <c r="BS8" s="54">
        <f t="shared" si="7"/>
        <v>-4</v>
      </c>
      <c r="BT8" s="54">
        <f t="shared" si="7"/>
        <v>-4</v>
      </c>
      <c r="BU8" s="54">
        <f t="shared" si="4"/>
        <v>-4</v>
      </c>
      <c r="BV8" s="54">
        <f t="shared" si="4"/>
        <v>86</v>
      </c>
      <c r="BW8" s="54">
        <f t="shared" si="4"/>
        <v>-4</v>
      </c>
      <c r="BX8" s="54">
        <f t="shared" si="4"/>
        <v>-4</v>
      </c>
      <c r="BY8" s="54">
        <f t="shared" si="4"/>
        <v>-4</v>
      </c>
      <c r="BZ8" s="54">
        <f t="shared" si="4"/>
        <v>-4</v>
      </c>
      <c r="CA8" s="54">
        <f t="shared" si="4"/>
        <v>-4</v>
      </c>
      <c r="CB8" s="54"/>
      <c r="CC8" s="54"/>
      <c r="CD8" s="54">
        <f t="shared" si="4"/>
        <v>-4</v>
      </c>
      <c r="CE8" s="54">
        <f t="shared" si="4"/>
        <v>-4</v>
      </c>
      <c r="CF8" s="54">
        <f t="shared" si="4"/>
        <v>-4</v>
      </c>
      <c r="CG8" s="55">
        <f t="shared" si="8"/>
        <v>38</v>
      </c>
    </row>
    <row r="9" spans="2:85" ht="37.5" customHeight="1">
      <c r="B9" s="57" t="s">
        <v>14</v>
      </c>
      <c r="C9" s="57" t="s">
        <v>14</v>
      </c>
      <c r="D9" s="2">
        <v>0</v>
      </c>
      <c r="E9" s="2">
        <v>0</v>
      </c>
      <c r="F9" s="5">
        <v>1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57" t="s">
        <v>14</v>
      </c>
      <c r="M9" s="2">
        <v>0</v>
      </c>
      <c r="N9" s="2">
        <v>0</v>
      </c>
      <c r="O9" s="2">
        <v>0</v>
      </c>
      <c r="P9" s="2">
        <v>0</v>
      </c>
      <c r="S9" s="6"/>
      <c r="T9" s="6"/>
      <c r="U9" s="2">
        <f>MAX(U41:U44)</f>
        <v>0</v>
      </c>
      <c r="V9" s="2">
        <f>MAX(V41:V44)</f>
        <v>0.8</v>
      </c>
      <c r="W9" s="5">
        <v>1</v>
      </c>
      <c r="X9" s="2">
        <f>MAX(X41:X44)</f>
        <v>0.9</v>
      </c>
      <c r="Y9" s="2">
        <f t="shared" ref="Y9:AG9" si="23">MAX(Y41:Y44)</f>
        <v>0</v>
      </c>
      <c r="Z9" s="2">
        <f t="shared" si="23"/>
        <v>0</v>
      </c>
      <c r="AA9" s="2">
        <f t="shared" si="23"/>
        <v>0</v>
      </c>
      <c r="AB9" s="2">
        <f t="shared" si="23"/>
        <v>0</v>
      </c>
      <c r="AC9" s="6"/>
      <c r="AD9" s="2">
        <f t="shared" si="23"/>
        <v>0</v>
      </c>
      <c r="AE9" s="2">
        <f t="shared" si="23"/>
        <v>0</v>
      </c>
      <c r="AF9" s="2">
        <f t="shared" si="23"/>
        <v>0</v>
      </c>
      <c r="AG9" s="2">
        <f t="shared" si="23"/>
        <v>0</v>
      </c>
      <c r="AJ9" s="6"/>
      <c r="AK9" s="6"/>
      <c r="AL9" s="51" t="str">
        <f>IF(MAX(AL41:AL44)=AL41,$AI$41,IF(MAX(AL41:AL44)=AL42,$AI$42,IF(MAX(AL41:AL44)=AL43,$AI$43,$AI$44)))</f>
        <v>^</v>
      </c>
      <c r="AM9" s="51" t="str">
        <f>IF(MAX(AM41:AM44)=AM41,$AI$41,IF(MAX(AM41:AM44)=AM42,$AI$42,IF(MAX(AM41:AM44)=AM43,$AI$43,$AI$44)))</f>
        <v>&gt;</v>
      </c>
      <c r="AN9" s="5">
        <v>1</v>
      </c>
      <c r="AO9" s="51" t="str">
        <f>IF(MAX(AO41:AO44)=AO41,$AI$41,IF(MAX(AO41:AO44)=AO42,$AI$42,IF(MAX(AO41:AO44)=AO43,$AI$43,$AI$44)))</f>
        <v>&lt;</v>
      </c>
      <c r="AP9" s="51" t="str">
        <f t="shared" ref="AP9:AR9" si="24">IF(MAX(AP41:AP44)=AP41,$AI$41,IF(MAX(AP41:AP44)=AP42,$AI$42,IF(MAX(AP41:AP44)=AP43,$AI$43,$AI$44)))</f>
        <v>^</v>
      </c>
      <c r="AQ9" s="51" t="str">
        <f t="shared" si="24"/>
        <v>^</v>
      </c>
      <c r="AR9" s="51" t="str">
        <f t="shared" si="24"/>
        <v>^</v>
      </c>
      <c r="AS9" s="51" t="str">
        <f>IF(MAX(AS41:AS44)=AS41,$AI$41,IF(MAX(AS41:AS44)=AS42,$AI$42,IF(MAX(AS41:AS44)=AS43,$AI$43,$AI$44)))</f>
        <v>^</v>
      </c>
      <c r="AT9" s="6"/>
      <c r="AU9" s="51" t="str">
        <f>IF(MAX(AU41:AU44)=AU41,$AI$41,IF(MAX(AU41:AU44)=AU42,$AI$42,IF(MAX(AU41:AU44)=AU43,$AI$43,$AI$44)))</f>
        <v>^</v>
      </c>
      <c r="AV9" s="51" t="str">
        <f t="shared" ref="AV9:AX9" si="25">IF(MAX(AV41:AV44)=AV41,$AI$41,IF(MAX(AV41:AV44)=AV42,$AI$42,IF(MAX(AV41:AV44)=AV43,$AI$43,$AI$44)))</f>
        <v>^</v>
      </c>
      <c r="AW9" s="51" t="str">
        <f t="shared" si="25"/>
        <v>^</v>
      </c>
      <c r="AX9" s="51" t="str">
        <f t="shared" si="25"/>
        <v>^</v>
      </c>
      <c r="BA9" s="1"/>
      <c r="BB9" s="1"/>
      <c r="BC9" s="3">
        <f t="shared" si="13"/>
        <v>-0.04</v>
      </c>
      <c r="BD9" s="3">
        <f t="shared" si="2"/>
        <v>0.76</v>
      </c>
      <c r="BE9" s="52">
        <v>1</v>
      </c>
      <c r="BF9" s="3">
        <f t="shared" si="2"/>
        <v>0.86</v>
      </c>
      <c r="BG9" s="3">
        <f t="shared" si="2"/>
        <v>-0.04</v>
      </c>
      <c r="BH9" s="3">
        <f t="shared" si="2"/>
        <v>-0.04</v>
      </c>
      <c r="BI9" s="3">
        <f t="shared" si="3"/>
        <v>-0.04</v>
      </c>
      <c r="BJ9" s="3">
        <f t="shared" si="3"/>
        <v>-0.04</v>
      </c>
      <c r="BK9" s="1"/>
      <c r="BL9" s="3">
        <f t="shared" si="3"/>
        <v>-0.04</v>
      </c>
      <c r="BM9" s="3">
        <f t="shared" si="3"/>
        <v>-0.04</v>
      </c>
      <c r="BN9" s="3">
        <f t="shared" si="3"/>
        <v>-0.04</v>
      </c>
      <c r="BO9" s="3">
        <f t="shared" si="3"/>
        <v>-0.04</v>
      </c>
      <c r="BR9" s="54"/>
      <c r="BS9" s="54"/>
      <c r="BT9" s="54">
        <f t="shared" si="7"/>
        <v>-4</v>
      </c>
      <c r="BU9" s="54">
        <f t="shared" si="4"/>
        <v>76</v>
      </c>
      <c r="BV9" s="54">
        <f t="shared" si="4"/>
        <v>0</v>
      </c>
      <c r="BW9" s="54">
        <f t="shared" si="4"/>
        <v>86</v>
      </c>
      <c r="BX9" s="54">
        <f t="shared" si="4"/>
        <v>-4</v>
      </c>
      <c r="BY9" s="54">
        <f t="shared" si="4"/>
        <v>-4</v>
      </c>
      <c r="BZ9" s="54">
        <f t="shared" si="4"/>
        <v>-4</v>
      </c>
      <c r="CA9" s="54">
        <f t="shared" si="4"/>
        <v>-4</v>
      </c>
      <c r="CB9" s="54"/>
      <c r="CC9" s="54">
        <f t="shared" si="4"/>
        <v>-4</v>
      </c>
      <c r="CD9" s="54">
        <f t="shared" si="4"/>
        <v>-4</v>
      </c>
      <c r="CE9" s="54">
        <f t="shared" si="4"/>
        <v>-4</v>
      </c>
      <c r="CF9" s="54">
        <f t="shared" si="4"/>
        <v>-4</v>
      </c>
      <c r="CG9" s="55">
        <f t="shared" si="8"/>
        <v>126</v>
      </c>
    </row>
    <row r="10" spans="2:85" ht="37.5" customHeight="1">
      <c r="B10" s="2">
        <v>0</v>
      </c>
      <c r="C10" s="2">
        <v>0</v>
      </c>
      <c r="D10" s="2">
        <v>0</v>
      </c>
      <c r="E10" s="2">
        <v>0</v>
      </c>
      <c r="F10" s="57" t="s">
        <v>14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4">
        <v>-1</v>
      </c>
      <c r="O10" s="57" t="s">
        <v>14</v>
      </c>
      <c r="P10" s="2">
        <v>0</v>
      </c>
      <c r="S10" s="2">
        <f>MAX(S45:S48)</f>
        <v>0</v>
      </c>
      <c r="T10" s="2">
        <f t="shared" ref="T10:AD10" si="26">MAX(T45:T48)</f>
        <v>0</v>
      </c>
      <c r="U10" s="2">
        <f t="shared" si="26"/>
        <v>0</v>
      </c>
      <c r="V10" s="2">
        <f t="shared" si="26"/>
        <v>0</v>
      </c>
      <c r="W10" s="6"/>
      <c r="X10" s="2">
        <f t="shared" si="26"/>
        <v>0</v>
      </c>
      <c r="Y10" s="2">
        <f t="shared" si="26"/>
        <v>0</v>
      </c>
      <c r="Z10" s="2">
        <f t="shared" si="26"/>
        <v>0</v>
      </c>
      <c r="AA10" s="2">
        <f t="shared" si="26"/>
        <v>0</v>
      </c>
      <c r="AB10" s="2">
        <f t="shared" si="26"/>
        <v>0.9</v>
      </c>
      <c r="AC10" s="2">
        <f t="shared" si="26"/>
        <v>0</v>
      </c>
      <c r="AD10" s="2">
        <f t="shared" si="26"/>
        <v>0</v>
      </c>
      <c r="AE10" s="4">
        <v>-1</v>
      </c>
      <c r="AF10" s="6"/>
      <c r="AG10" s="2">
        <f t="shared" ref="AG10" si="27">MAX(AG45:AG48)</f>
        <v>0</v>
      </c>
      <c r="AJ10" s="51" t="str">
        <f>IF(MAX(AJ45:AJ48)=AJ45,$AI$45,IF(MAX(AJ45:AJ48)=AJ46,$AI$46,IF(MAX(AJ45:AJ48)=AJ47,$AI$47,$AI$48)))</f>
        <v>^</v>
      </c>
      <c r="AK10" s="51" t="str">
        <f>IF(MAX(AK45:AK48)=AK45,$AI$45,IF(MAX(AK45:AK48)=AK46,$AI$46,IF(MAX(AK45:AK48)=AK47,$AI$47,$AI$48)))</f>
        <v>^</v>
      </c>
      <c r="AL10" s="51" t="str">
        <f>IF(MAX(AL45:AL48)=AL45,$AI$45,IF(MAX(AL45:AL48)=AL46,$AI$46,IF(MAX(AL45:AL48)=AL47,$AI$47,$AI$48)))</f>
        <v>^</v>
      </c>
      <c r="AM10" s="51" t="str">
        <f>IF(MAX(AM45:AM48)=AM45,$AI$45,IF(MAX(AM45:AM48)=AM46,$AI$46,IF(MAX(AM45:AM48)=AM47,$AI$47,$AI$48)))</f>
        <v>^</v>
      </c>
      <c r="AN10" s="6"/>
      <c r="AO10" s="51" t="str">
        <f>IF(MAX(AO45:AO48)=AO45,$AI$45,IF(MAX(AO45:AO48)=AO46,$AI$46,IF(MAX(AO45:AO48)=AO47,$AI$47,$AI$48)))</f>
        <v>^</v>
      </c>
      <c r="AP10" s="51" t="str">
        <f>IF(MAX(AP45:AP48)=AP45,$AI$45,IF(MAX(AP45:AP48)=AP46,$AI$46,IF(MAX(AP45:AP48)=AP47,$AI$47,$AI$48)))</f>
        <v>^</v>
      </c>
      <c r="AQ10" s="51" t="str">
        <f t="shared" ref="AQ10:AU10" si="28">IF(MAX(AQ45:AQ48)=AQ45,$AI$45,IF(MAX(AQ45:AQ48)=AQ46,$AI$46,IF(MAX(AQ45:AQ48)=AQ47,$AI$47,$AI$48)))</f>
        <v>^</v>
      </c>
      <c r="AR10" s="51" t="str">
        <f t="shared" si="28"/>
        <v>^</v>
      </c>
      <c r="AS10" s="51" t="str">
        <f t="shared" si="28"/>
        <v>v</v>
      </c>
      <c r="AT10" s="51" t="str">
        <f t="shared" si="28"/>
        <v>^</v>
      </c>
      <c r="AU10" s="51" t="str">
        <f t="shared" si="28"/>
        <v>&lt;</v>
      </c>
      <c r="AV10" s="4">
        <v>-1</v>
      </c>
      <c r="AW10" s="6"/>
      <c r="AX10" s="51" t="str">
        <f t="shared" ref="AX10" si="29">IF(MAX(AX45:AX48)=AX45,$AI$45,IF(MAX(AX45:AX48)=AX46,$AI$46,IF(MAX(AX45:AX48)=AX47,$AI$47,$AI$48)))</f>
        <v>^</v>
      </c>
      <c r="BA10" s="3">
        <f t="shared" ref="BA10:BB11" si="30">S10-0.04</f>
        <v>-0.04</v>
      </c>
      <c r="BB10" s="3">
        <f t="shared" si="30"/>
        <v>-0.04</v>
      </c>
      <c r="BC10" s="3">
        <f t="shared" si="13"/>
        <v>-0.04</v>
      </c>
      <c r="BD10" s="3">
        <f t="shared" si="2"/>
        <v>-0.04</v>
      </c>
      <c r="BE10" s="1"/>
      <c r="BF10" s="3">
        <f t="shared" si="2"/>
        <v>-0.04</v>
      </c>
      <c r="BG10" s="3">
        <f t="shared" si="2"/>
        <v>-0.04</v>
      </c>
      <c r="BH10" s="3">
        <f t="shared" si="2"/>
        <v>-0.04</v>
      </c>
      <c r="BI10" s="3">
        <f t="shared" si="3"/>
        <v>-0.04</v>
      </c>
      <c r="BJ10" s="3">
        <f t="shared" si="3"/>
        <v>0.86</v>
      </c>
      <c r="BK10" s="3">
        <f t="shared" si="3"/>
        <v>-0.04</v>
      </c>
      <c r="BL10" s="3">
        <f t="shared" si="3"/>
        <v>-0.04</v>
      </c>
      <c r="BM10" s="53">
        <v>-1</v>
      </c>
      <c r="BN10" s="1"/>
      <c r="BO10" s="3">
        <f t="shared" si="3"/>
        <v>-0.04</v>
      </c>
      <c r="BR10" s="54">
        <f t="shared" si="7"/>
        <v>-4</v>
      </c>
      <c r="BS10" s="54">
        <f t="shared" si="7"/>
        <v>-4</v>
      </c>
      <c r="BT10" s="54">
        <f t="shared" si="7"/>
        <v>-4</v>
      </c>
      <c r="BU10" s="54">
        <f t="shared" si="4"/>
        <v>-4</v>
      </c>
      <c r="BV10" s="54"/>
      <c r="BW10" s="54">
        <f t="shared" si="4"/>
        <v>-4</v>
      </c>
      <c r="BX10" s="54">
        <f t="shared" si="4"/>
        <v>-4</v>
      </c>
      <c r="BY10" s="54">
        <f t="shared" si="4"/>
        <v>-4</v>
      </c>
      <c r="BZ10" s="54">
        <f t="shared" si="4"/>
        <v>-4</v>
      </c>
      <c r="CA10" s="54">
        <f t="shared" si="4"/>
        <v>86</v>
      </c>
      <c r="CB10" s="54">
        <f t="shared" si="4"/>
        <v>-4</v>
      </c>
      <c r="CC10" s="54">
        <f t="shared" si="4"/>
        <v>-4</v>
      </c>
      <c r="CD10" s="54">
        <f t="shared" si="4"/>
        <v>0</v>
      </c>
      <c r="CE10" s="54"/>
      <c r="CF10" s="54">
        <f t="shared" si="4"/>
        <v>-4</v>
      </c>
      <c r="CG10" s="55">
        <f t="shared" si="8"/>
        <v>42</v>
      </c>
    </row>
    <row r="11" spans="2:85" ht="37.5" customHeight="1"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4">
        <v>-1</v>
      </c>
      <c r="I11" s="2">
        <v>0</v>
      </c>
      <c r="J11" s="2">
        <v>0</v>
      </c>
      <c r="K11" s="5">
        <v>1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S11" s="2">
        <f>MAX(S49:S52)</f>
        <v>0</v>
      </c>
      <c r="T11" s="2">
        <f t="shared" ref="T11:AG11" si="31">MAX(T49:T52)</f>
        <v>0</v>
      </c>
      <c r="U11" s="2">
        <f t="shared" si="31"/>
        <v>0</v>
      </c>
      <c r="V11" s="2">
        <f t="shared" si="31"/>
        <v>0</v>
      </c>
      <c r="W11" s="2">
        <f t="shared" si="31"/>
        <v>0</v>
      </c>
      <c r="X11" s="2">
        <f t="shared" si="31"/>
        <v>0</v>
      </c>
      <c r="Y11" s="4">
        <v>-1</v>
      </c>
      <c r="Z11" s="2">
        <f t="shared" si="31"/>
        <v>0</v>
      </c>
      <c r="AA11" s="2">
        <f t="shared" si="31"/>
        <v>0.8</v>
      </c>
      <c r="AB11" s="5">
        <v>1</v>
      </c>
      <c r="AC11" s="2">
        <f t="shared" si="31"/>
        <v>0.9</v>
      </c>
      <c r="AD11" s="2">
        <f t="shared" si="31"/>
        <v>0</v>
      </c>
      <c r="AE11" s="2">
        <f t="shared" si="31"/>
        <v>0</v>
      </c>
      <c r="AF11" s="2">
        <f t="shared" si="31"/>
        <v>0</v>
      </c>
      <c r="AG11" s="2">
        <f t="shared" si="31"/>
        <v>0</v>
      </c>
      <c r="AJ11" s="51" t="str">
        <f>IF(MAX(AJ49:AJ52)=AJ49,$AI$49,IF(MAX(AJ49:AJ52)=AJ50,$AI$50,IF(MAX(AJ49:AJ52)=AJ51,$AI$51,$AI$52)))</f>
        <v>^</v>
      </c>
      <c r="AK11" s="51" t="str">
        <f t="shared" ref="AK11:AX11" si="32">IF(MAX(AK49:AK52)=AK49,$AI$49,IF(MAX(AK49:AK52)=AK50,$AI$50,IF(MAX(AK49:AK52)=AK51,$AI$51,$AI$52)))</f>
        <v>^</v>
      </c>
      <c r="AL11" s="51" t="str">
        <f t="shared" si="32"/>
        <v>^</v>
      </c>
      <c r="AM11" s="51" t="str">
        <f t="shared" si="32"/>
        <v>^</v>
      </c>
      <c r="AN11" s="51" t="str">
        <f t="shared" si="32"/>
        <v>^</v>
      </c>
      <c r="AO11" s="51" t="str">
        <f t="shared" si="32"/>
        <v>&lt;</v>
      </c>
      <c r="AP11" s="4">
        <v>-1</v>
      </c>
      <c r="AQ11" s="51" t="str">
        <f t="shared" si="32"/>
        <v>&gt;</v>
      </c>
      <c r="AR11" s="51" t="str">
        <f t="shared" si="32"/>
        <v>&gt;</v>
      </c>
      <c r="AS11" s="5">
        <v>1</v>
      </c>
      <c r="AT11" s="51" t="str">
        <f t="shared" si="32"/>
        <v>&lt;</v>
      </c>
      <c r="AU11" s="51" t="str">
        <f t="shared" si="32"/>
        <v>^</v>
      </c>
      <c r="AV11" s="51" t="str">
        <f t="shared" si="32"/>
        <v>v</v>
      </c>
      <c r="AW11" s="51" t="str">
        <f t="shared" si="32"/>
        <v>^</v>
      </c>
      <c r="AX11" s="51" t="str">
        <f t="shared" si="32"/>
        <v>^</v>
      </c>
      <c r="BA11" s="3">
        <f t="shared" si="30"/>
        <v>-0.04</v>
      </c>
      <c r="BB11" s="3">
        <f t="shared" si="30"/>
        <v>-0.04</v>
      </c>
      <c r="BC11" s="3">
        <f t="shared" si="13"/>
        <v>-0.04</v>
      </c>
      <c r="BD11" s="3">
        <f t="shared" si="2"/>
        <v>-0.04</v>
      </c>
      <c r="BE11" s="3">
        <f t="shared" si="2"/>
        <v>-0.04</v>
      </c>
      <c r="BF11" s="3">
        <f t="shared" si="2"/>
        <v>-0.04</v>
      </c>
      <c r="BG11" s="53">
        <v>-1</v>
      </c>
      <c r="BH11" s="3">
        <f t="shared" si="2"/>
        <v>-0.04</v>
      </c>
      <c r="BI11" s="3">
        <f t="shared" si="3"/>
        <v>0.76</v>
      </c>
      <c r="BJ11" s="52">
        <v>1</v>
      </c>
      <c r="BK11" s="3">
        <f t="shared" si="3"/>
        <v>0.86</v>
      </c>
      <c r="BL11" s="3">
        <f t="shared" si="3"/>
        <v>-0.04</v>
      </c>
      <c r="BM11" s="3">
        <f t="shared" si="3"/>
        <v>-0.04</v>
      </c>
      <c r="BN11" s="3">
        <f t="shared" si="3"/>
        <v>-0.04</v>
      </c>
      <c r="BO11" s="3">
        <f t="shared" si="3"/>
        <v>-0.04</v>
      </c>
      <c r="BR11" s="54">
        <f t="shared" si="7"/>
        <v>-4</v>
      </c>
      <c r="BS11" s="54">
        <f t="shared" si="7"/>
        <v>-4</v>
      </c>
      <c r="BT11" s="54">
        <f t="shared" si="7"/>
        <v>-4</v>
      </c>
      <c r="BU11" s="54">
        <f t="shared" si="4"/>
        <v>-4</v>
      </c>
      <c r="BV11" s="54">
        <f t="shared" si="4"/>
        <v>-4</v>
      </c>
      <c r="BW11" s="54">
        <f t="shared" si="4"/>
        <v>-4</v>
      </c>
      <c r="BX11" s="54">
        <f t="shared" si="4"/>
        <v>0</v>
      </c>
      <c r="BY11" s="54">
        <f t="shared" si="4"/>
        <v>-4</v>
      </c>
      <c r="BZ11" s="54">
        <f t="shared" si="4"/>
        <v>76</v>
      </c>
      <c r="CA11" s="54">
        <f t="shared" si="4"/>
        <v>0</v>
      </c>
      <c r="CB11" s="54">
        <f t="shared" si="4"/>
        <v>86</v>
      </c>
      <c r="CC11" s="54">
        <f t="shared" si="4"/>
        <v>-4</v>
      </c>
      <c r="CD11" s="54">
        <f t="shared" si="4"/>
        <v>-4</v>
      </c>
      <c r="CE11" s="54">
        <f t="shared" si="4"/>
        <v>-4</v>
      </c>
      <c r="CF11" s="54">
        <f t="shared" si="4"/>
        <v>-4</v>
      </c>
      <c r="CG11" s="55">
        <f t="shared" si="8"/>
        <v>118</v>
      </c>
    </row>
    <row r="12" spans="2:85" ht="37.5" customHeight="1">
      <c r="CG12" s="56">
        <f>SUM(CG2:CG11)</f>
        <v>608</v>
      </c>
    </row>
    <row r="13" spans="2:85" ht="22.5" customHeight="1" thickBot="1">
      <c r="B13" s="61" t="s">
        <v>12</v>
      </c>
      <c r="C13" s="61"/>
      <c r="D13" s="61"/>
      <c r="E13" s="61"/>
      <c r="F13" s="61"/>
      <c r="G13" s="11"/>
      <c r="O13">
        <f>CG12</f>
        <v>608</v>
      </c>
      <c r="R13" s="7" t="s">
        <v>1</v>
      </c>
      <c r="S13" s="36">
        <f>($C$15*B2)+($D$15*B2)+($E$15*C2)+($F$15*B3)</f>
        <v>0</v>
      </c>
      <c r="T13" s="37">
        <f>($C$15*C2)+($D$15*B2)+($E$15*D2)+($F$15*C3)</f>
        <v>0</v>
      </c>
      <c r="U13" s="36">
        <f>($C$15*D2)+($D$15*C2)+($E$15*E2)+($F$15*D2)</f>
        <v>0</v>
      </c>
      <c r="V13" s="37">
        <f>($C$15*E2)+($D$15*D2)+($E$15*F2)+($F$15*E3)</f>
        <v>0</v>
      </c>
      <c r="W13" s="36">
        <f>($C$15*F2)+($D$15*E2)+($E$15*F2)+($F$15*F3)</f>
        <v>0</v>
      </c>
      <c r="X13" s="38"/>
      <c r="Y13" s="36">
        <f>($C$15*H2)+($D$15*H2)+($E$15*I2)+($F$15*H3)</f>
        <v>0</v>
      </c>
      <c r="Z13" s="37">
        <f>($C$15*I2)+($D$15*H2)+($E$15*J2)+($F$15*I3)</f>
        <v>0</v>
      </c>
      <c r="AA13" s="37">
        <f>($C$15*J2)+($D$15*I2)+($E$15*K2)+($F$15*J3)</f>
        <v>0</v>
      </c>
      <c r="AB13" s="37">
        <f>($C$15*K2)+($D$15*J2)+($E$15*L2)+($F$15*K2)</f>
        <v>0</v>
      </c>
      <c r="AC13" s="37">
        <f>($C$15*L2)+($D$15*K2)+($E$15*M2)+($F$15*L3)</f>
        <v>0</v>
      </c>
      <c r="AD13" s="37">
        <f>($C$15*M2)+($D$15*L2)+($E$15*N2)+($F$15*M3)</f>
        <v>0</v>
      </c>
      <c r="AE13" s="36">
        <f>($C$15*N2)+($D$15*M2)+($E$15*N2)+($F$15*N3)</f>
        <v>0</v>
      </c>
      <c r="AF13" s="58"/>
      <c r="AG13" s="36">
        <f>($C$15*P2)+($D$15*P2)+($E$15*P2)+($F$15*P3)</f>
        <v>0</v>
      </c>
      <c r="AI13" s="7" t="s">
        <v>1</v>
      </c>
      <c r="AJ13" s="36">
        <f t="shared" ref="AJ13:AN16" si="33">S13</f>
        <v>0</v>
      </c>
      <c r="AK13" s="48">
        <f t="shared" si="33"/>
        <v>0</v>
      </c>
      <c r="AL13" s="36">
        <f t="shared" si="33"/>
        <v>0</v>
      </c>
      <c r="AM13" s="48">
        <f t="shared" si="33"/>
        <v>0</v>
      </c>
      <c r="AN13" s="36">
        <f t="shared" si="33"/>
        <v>0</v>
      </c>
      <c r="AO13" s="8"/>
      <c r="AP13" s="36">
        <f t="shared" ref="AP13:AX16" si="34">Y13</f>
        <v>0</v>
      </c>
      <c r="AQ13" s="48">
        <f t="shared" si="34"/>
        <v>0</v>
      </c>
      <c r="AR13" s="36">
        <f t="shared" si="34"/>
        <v>0</v>
      </c>
      <c r="AS13" s="48">
        <f t="shared" si="34"/>
        <v>0</v>
      </c>
      <c r="AT13" s="36">
        <f t="shared" si="34"/>
        <v>0</v>
      </c>
      <c r="AU13" s="48">
        <f t="shared" si="34"/>
        <v>0</v>
      </c>
      <c r="AV13" s="36">
        <f t="shared" si="34"/>
        <v>0</v>
      </c>
      <c r="AW13" s="58"/>
      <c r="AX13" s="36">
        <f t="shared" si="34"/>
        <v>0</v>
      </c>
    </row>
    <row r="14" spans="2:85" ht="22.5" customHeight="1" thickBot="1">
      <c r="B14" s="27" t="s">
        <v>11</v>
      </c>
      <c r="C14" s="12" t="s">
        <v>7</v>
      </c>
      <c r="D14" s="13" t="s">
        <v>8</v>
      </c>
      <c r="E14" s="28" t="s">
        <v>9</v>
      </c>
      <c r="F14" s="14" t="s">
        <v>10</v>
      </c>
      <c r="R14" s="7" t="s">
        <v>2</v>
      </c>
      <c r="S14" s="39">
        <f>($C$16*B2)+($D$16*B2)+($E$16*C2)+($F$16*B3)</f>
        <v>0</v>
      </c>
      <c r="T14" s="40">
        <f>($C$16*C2)+($D$16*B2)+($E$16*D2)+($F$16*C3)</f>
        <v>0</v>
      </c>
      <c r="U14" s="39">
        <f>($C$16*D2)+($D$16*C2)+($E$16*E2)+($F$16*D2)</f>
        <v>0</v>
      </c>
      <c r="V14" s="40">
        <f>($C$16*E2)+($D$16*D2)+($E$16*F2)+($F$16*E3)</f>
        <v>0</v>
      </c>
      <c r="W14" s="39">
        <f>($C$16*F2)+($D$16*E2)+($E$16*F2)+($F$16*F3)</f>
        <v>0</v>
      </c>
      <c r="X14" s="41"/>
      <c r="Y14" s="39">
        <f>($C$16*H2)+($D$16*H2)+($E$16*I2)+($F$16*H3)</f>
        <v>0</v>
      </c>
      <c r="Z14" s="40">
        <f>($C$16*I2)+($D$16*H2)+($E$16*J2)+($F$16*I3)</f>
        <v>0</v>
      </c>
      <c r="AA14" s="40">
        <f>($C$16*J2)+($D$16*I2)+($E$16*K2)+($F$16*J3)</f>
        <v>0</v>
      </c>
      <c r="AB14" s="40">
        <f>($C$16*K2)+($D$16*J2)+($E$16*L2)+($F$16*K2)</f>
        <v>0</v>
      </c>
      <c r="AC14" s="40">
        <f>($C$16*L2)+($D$16*K2)+($E$16*M2)+($F$16*L3)</f>
        <v>0</v>
      </c>
      <c r="AD14" s="40">
        <f>($C$16*M2)+($D$16*L2)+($E$16*N2)+($F$16*M3)</f>
        <v>0</v>
      </c>
      <c r="AE14" s="39">
        <f>($C$16*N2)+($D$16*M2)+($E$16*N2)+($F$16*N3)</f>
        <v>0</v>
      </c>
      <c r="AF14" s="59"/>
      <c r="AG14" s="39">
        <f>($C$16*P2)+($D$16*P2)+($E$16*P2)+($F$16*P3)</f>
        <v>0</v>
      </c>
      <c r="AI14" s="7" t="s">
        <v>2</v>
      </c>
      <c r="AJ14" s="39">
        <f t="shared" si="33"/>
        <v>0</v>
      </c>
      <c r="AK14" s="49">
        <f t="shared" si="33"/>
        <v>0</v>
      </c>
      <c r="AL14" s="39">
        <f t="shared" si="33"/>
        <v>0</v>
      </c>
      <c r="AM14" s="49">
        <f t="shared" si="33"/>
        <v>0</v>
      </c>
      <c r="AN14" s="39">
        <f t="shared" si="33"/>
        <v>0</v>
      </c>
      <c r="AO14" s="9"/>
      <c r="AP14" s="39">
        <f t="shared" si="34"/>
        <v>0</v>
      </c>
      <c r="AQ14" s="49">
        <f t="shared" si="34"/>
        <v>0</v>
      </c>
      <c r="AR14" s="39">
        <f t="shared" si="34"/>
        <v>0</v>
      </c>
      <c r="AS14" s="49">
        <f t="shared" si="34"/>
        <v>0</v>
      </c>
      <c r="AT14" s="39">
        <f t="shared" si="34"/>
        <v>0</v>
      </c>
      <c r="AU14" s="49">
        <f t="shared" si="34"/>
        <v>0</v>
      </c>
      <c r="AV14" s="39">
        <f t="shared" si="34"/>
        <v>0</v>
      </c>
      <c r="AW14" s="59"/>
      <c r="AX14" s="39">
        <f t="shared" si="34"/>
        <v>0</v>
      </c>
    </row>
    <row r="15" spans="2:85" ht="22.5" customHeight="1">
      <c r="B15" s="29" t="s">
        <v>7</v>
      </c>
      <c r="C15" s="15">
        <v>0.8</v>
      </c>
      <c r="D15" s="16">
        <v>0.1</v>
      </c>
      <c r="E15" s="30">
        <v>0.1</v>
      </c>
      <c r="F15" s="17">
        <v>0</v>
      </c>
      <c r="R15" s="7" t="s">
        <v>3</v>
      </c>
      <c r="S15" s="39">
        <f>($C$17*B2)+($D$17*B2)+($E$17*C2)+($F$17*B3)</f>
        <v>0</v>
      </c>
      <c r="T15" s="40">
        <f>($C$17*C2)+($D$17*B2)+($E$17*D2)+($F$17*C3)</f>
        <v>0</v>
      </c>
      <c r="U15" s="39">
        <f>($C$17*D2)+($D$17*C2)+($E$17*E2)+($F$17*D2)</f>
        <v>0</v>
      </c>
      <c r="V15" s="40">
        <f>($C$17*E2)+($D$17*D2)+($E$17*F2)+($F$17*E3)</f>
        <v>0.1</v>
      </c>
      <c r="W15" s="39">
        <f>($C$17*F2)+($D$17*E2)+($E$17*F2)+($F$17*F3)</f>
        <v>0</v>
      </c>
      <c r="X15" s="41"/>
      <c r="Y15" s="39">
        <f>($C$17*H2)+($D$17*H2)+($E$17*I2)+($F$17*H3)</f>
        <v>0</v>
      </c>
      <c r="Z15" s="40">
        <f>($C$17*I2)+($D$17*H2)+($E$17*J2)+($F$17*I3)</f>
        <v>0</v>
      </c>
      <c r="AA15" s="40">
        <f>($C$17*J2)+($D$17*I2)+($E$17*K2)+($F$17*J3)</f>
        <v>0</v>
      </c>
      <c r="AB15" s="40">
        <f>($C$17*K2)+($D$17*J2)+($E$17*L2)+($F$17*K2)</f>
        <v>0</v>
      </c>
      <c r="AC15" s="40">
        <f>($C$17*L2)+($D$17*K2)+($E$17*M2)+($F$17*L3)</f>
        <v>0</v>
      </c>
      <c r="AD15" s="40">
        <f>($C$17*M2)+($D$17*L2)+($E$17*N2)+($F$17*M3)</f>
        <v>0</v>
      </c>
      <c r="AE15" s="39">
        <f>($C$17*N2)+($D$17*M2)+($E$17*N2)+($F$17*N3)</f>
        <v>0</v>
      </c>
      <c r="AF15" s="59"/>
      <c r="AG15" s="39">
        <f>($C$17*P2)+($D$17*P2)+($E$17*P2)+($F$17*P3)</f>
        <v>0</v>
      </c>
      <c r="AI15" s="7" t="s">
        <v>3</v>
      </c>
      <c r="AJ15" s="39">
        <f t="shared" si="33"/>
        <v>0</v>
      </c>
      <c r="AK15" s="49">
        <f t="shared" si="33"/>
        <v>0</v>
      </c>
      <c r="AL15" s="39">
        <f t="shared" si="33"/>
        <v>0</v>
      </c>
      <c r="AM15" s="49">
        <f t="shared" si="33"/>
        <v>0.1</v>
      </c>
      <c r="AN15" s="39">
        <f t="shared" si="33"/>
        <v>0</v>
      </c>
      <c r="AO15" s="9"/>
      <c r="AP15" s="39">
        <f t="shared" si="34"/>
        <v>0</v>
      </c>
      <c r="AQ15" s="49">
        <f t="shared" si="34"/>
        <v>0</v>
      </c>
      <c r="AR15" s="39">
        <f t="shared" si="34"/>
        <v>0</v>
      </c>
      <c r="AS15" s="49">
        <f t="shared" si="34"/>
        <v>0</v>
      </c>
      <c r="AT15" s="39">
        <f t="shared" si="34"/>
        <v>0</v>
      </c>
      <c r="AU15" s="49">
        <f t="shared" si="34"/>
        <v>0</v>
      </c>
      <c r="AV15" s="39">
        <f t="shared" si="34"/>
        <v>0</v>
      </c>
      <c r="AW15" s="59"/>
      <c r="AX15" s="39">
        <f t="shared" si="34"/>
        <v>0</v>
      </c>
    </row>
    <row r="16" spans="2:85" ht="22.5" customHeight="1">
      <c r="B16" s="31" t="s">
        <v>8</v>
      </c>
      <c r="C16" s="18">
        <v>0.1</v>
      </c>
      <c r="D16" s="19">
        <v>0.9</v>
      </c>
      <c r="E16" s="32">
        <v>0</v>
      </c>
      <c r="F16" s="20">
        <v>0</v>
      </c>
      <c r="R16" s="7" t="s">
        <v>4</v>
      </c>
      <c r="S16" s="39">
        <f>($C$18*B2)+($D$18*B2)+($E$18*C2)+($F$18*B3)</f>
        <v>0</v>
      </c>
      <c r="T16" s="40">
        <f>($C$18*C2)+($D$18*B2)+($E$18*D2)+($F$18*C3)</f>
        <v>0</v>
      </c>
      <c r="U16" s="39">
        <f>($C$18*D2)+($D$18*C2)+($E$18*E2)+($F$18*D2)</f>
        <v>0</v>
      </c>
      <c r="V16" s="40">
        <f>($C$18*E2)+($D$18*D2)+($E$18*F2)+($F$18*E3)</f>
        <v>0.9</v>
      </c>
      <c r="W16" s="39">
        <f>($C$18*F2)+($D$18*E2)+($E$18*F2)+($F$18*F3)</f>
        <v>0</v>
      </c>
      <c r="X16" s="42"/>
      <c r="Y16" s="39">
        <f>($C$18*H2)+($D$18*H2)+($E$18*I2)+($F$18*H3)</f>
        <v>0</v>
      </c>
      <c r="Z16" s="40">
        <f>($C$18*I2)+($D$18*H2)+($E$18*J2)+($F$18*I3)</f>
        <v>0</v>
      </c>
      <c r="AA16" s="40">
        <f>($C$18*J2)+($D$18*I2)+($E$18*K2)+($F$18*J3)</f>
        <v>0</v>
      </c>
      <c r="AB16" s="40">
        <f>($C$18*K2)+($D$18*J2)+($E$18*L2)+($F$18*K2)</f>
        <v>0</v>
      </c>
      <c r="AC16" s="40">
        <f>($C$18*L2)+($D$18*K2)+($E$18*M2)+($F$18*L3)</f>
        <v>0</v>
      </c>
      <c r="AD16" s="40">
        <f>($C$18*M2)+($D$18*L2)+($E$18*N2)+($F$18*M3)</f>
        <v>0</v>
      </c>
      <c r="AE16" s="39">
        <f>($C$18*N2)+($D$18*M2)+($E$18*N2)+($F$18*N3)</f>
        <v>0</v>
      </c>
      <c r="AF16" s="59"/>
      <c r="AG16" s="39">
        <f>($C$18*P2)+($D$18*P2)+($E$18*P2)+($F$18*P3)</f>
        <v>0</v>
      </c>
      <c r="AI16" s="7" t="s">
        <v>4</v>
      </c>
      <c r="AJ16" s="47">
        <f t="shared" si="33"/>
        <v>0</v>
      </c>
      <c r="AK16" s="50">
        <f t="shared" si="33"/>
        <v>0</v>
      </c>
      <c r="AL16" s="47">
        <f t="shared" si="33"/>
        <v>0</v>
      </c>
      <c r="AM16" s="50">
        <f t="shared" si="33"/>
        <v>0.9</v>
      </c>
      <c r="AN16" s="47">
        <f t="shared" si="33"/>
        <v>0</v>
      </c>
      <c r="AO16" s="10"/>
      <c r="AP16" s="47">
        <f t="shared" si="34"/>
        <v>0</v>
      </c>
      <c r="AQ16" s="50">
        <f t="shared" si="34"/>
        <v>0</v>
      </c>
      <c r="AR16" s="47">
        <f t="shared" si="34"/>
        <v>0</v>
      </c>
      <c r="AS16" s="50">
        <f t="shared" si="34"/>
        <v>0</v>
      </c>
      <c r="AT16" s="47">
        <f t="shared" si="34"/>
        <v>0</v>
      </c>
      <c r="AU16" s="50">
        <f t="shared" si="34"/>
        <v>0</v>
      </c>
      <c r="AV16" s="47">
        <f t="shared" si="34"/>
        <v>0</v>
      </c>
      <c r="AW16" s="60"/>
      <c r="AX16" s="47">
        <f>AG16</f>
        <v>0</v>
      </c>
    </row>
    <row r="17" spans="2:50" ht="22.5" customHeight="1">
      <c r="B17" s="31" t="s">
        <v>9</v>
      </c>
      <c r="C17" s="21">
        <v>0.1</v>
      </c>
      <c r="D17" s="22">
        <v>0</v>
      </c>
      <c r="E17" s="33">
        <v>0.8</v>
      </c>
      <c r="F17" s="23">
        <v>0.1</v>
      </c>
      <c r="R17" s="7" t="s">
        <v>1</v>
      </c>
      <c r="S17" s="37">
        <f>($C$15*B2)+($D$15*B3)+($E$15*C3)+($F$15*B4)</f>
        <v>0</v>
      </c>
      <c r="T17" s="36">
        <f>($C$15*C2)+($D$15*B3)+($E$15*C3)+($F$15*C4)</f>
        <v>0</v>
      </c>
      <c r="U17" s="43"/>
      <c r="V17" s="62">
        <v>1</v>
      </c>
      <c r="W17" s="37">
        <f>($C$15*F2)+($D$15*E3)+($E$15*F3)+($F$15*F4)</f>
        <v>0.1</v>
      </c>
      <c r="X17" s="43"/>
      <c r="Y17" s="37">
        <f>($C$15*H2)+($D$15*H3)+($E$15*I3)+($F$15*H4)</f>
        <v>0</v>
      </c>
      <c r="Z17" s="36">
        <f>($C$15*I2)+($D$15*H3)+($E$15*J3)+($F$15*I4)</f>
        <v>0</v>
      </c>
      <c r="AA17" s="37">
        <f>($C$15*J2)+($D$15*I3)+($E$15*J3)+($F$15*J4)</f>
        <v>0</v>
      </c>
      <c r="AB17" s="43"/>
      <c r="AC17" s="37">
        <f>($C$15*L2)+($D$15*L3)+($E$15*M3)+($F$15*L4)</f>
        <v>0</v>
      </c>
      <c r="AD17" s="36">
        <f>($C$15*M2)+($D$15*L3)+($E$15*N3)+($F$15*M4)</f>
        <v>0</v>
      </c>
      <c r="AE17" s="37">
        <f>($C$15*N2)+($D$15*M3)+($E$15*O3)+($F$15*N4)</f>
        <v>-0.1</v>
      </c>
      <c r="AF17" s="65">
        <v>-1</v>
      </c>
      <c r="AG17" s="37">
        <f>($C$15*P2)+($D$15*O3)+($E$15*P3)+($F$15*P4)</f>
        <v>-0.1</v>
      </c>
      <c r="AI17" s="7" t="s">
        <v>1</v>
      </c>
      <c r="AJ17" s="48">
        <f t="shared" ref="AJ17:AJ32" si="35">S17</f>
        <v>0</v>
      </c>
      <c r="AK17" s="36">
        <f t="shared" ref="AK17:AK32" si="36">T17</f>
        <v>0</v>
      </c>
      <c r="AL17" s="8"/>
      <c r="AM17" s="62">
        <v>1</v>
      </c>
      <c r="AN17" s="48">
        <f t="shared" ref="AN17:AN28" si="37">W17</f>
        <v>0.1</v>
      </c>
      <c r="AO17" s="8"/>
      <c r="AP17" s="48">
        <f t="shared" ref="AP17:AP28" si="38">Y17</f>
        <v>0</v>
      </c>
      <c r="AQ17" s="36">
        <f t="shared" ref="AQ17:AQ28" si="39">Z17</f>
        <v>0</v>
      </c>
      <c r="AR17" s="48">
        <f t="shared" ref="AR17:AR28" si="40">AA17</f>
        <v>0</v>
      </c>
      <c r="AS17" s="8"/>
      <c r="AT17" s="48">
        <f t="shared" ref="AT17:AT20" si="41">AC17</f>
        <v>0</v>
      </c>
      <c r="AU17" s="36">
        <f t="shared" ref="AU17:AV20" si="42">AD17</f>
        <v>0</v>
      </c>
      <c r="AV17" s="48">
        <f t="shared" si="42"/>
        <v>-0.1</v>
      </c>
      <c r="AW17" s="65">
        <v>-1</v>
      </c>
      <c r="AX17" s="48">
        <f t="shared" ref="AX17:AX20" si="43">AG17</f>
        <v>-0.1</v>
      </c>
    </row>
    <row r="18" spans="2:50" ht="22.5" customHeight="1" thickBot="1">
      <c r="B18" s="34" t="s">
        <v>10</v>
      </c>
      <c r="C18" s="24">
        <v>0</v>
      </c>
      <c r="D18" s="25">
        <v>0</v>
      </c>
      <c r="E18" s="35">
        <v>0.1</v>
      </c>
      <c r="F18" s="26">
        <v>0.9</v>
      </c>
      <c r="R18" s="7" t="s">
        <v>2</v>
      </c>
      <c r="S18" s="40">
        <f>($C$16*B2)+($D$16*B3)+($E$16*C3)+($F$16*B4)</f>
        <v>0</v>
      </c>
      <c r="T18" s="39">
        <f>($C$16*C2)+($D$16*B3)+($E$16*C3)+($F$16*C4)</f>
        <v>0</v>
      </c>
      <c r="U18" s="44"/>
      <c r="V18" s="63"/>
      <c r="W18" s="40">
        <f>($C$16*F2)+($D$16*E3)+($E$16*F3)+($F$16*F4)</f>
        <v>0.9</v>
      </c>
      <c r="X18" s="44"/>
      <c r="Y18" s="40">
        <f>($C$16*H2)+($D$16*H3)+($E$16*I3)+($F$16*H4)</f>
        <v>0</v>
      </c>
      <c r="Z18" s="39">
        <f>($C$16*I2)+($D$16*H3)+($E$16*J3)+($F$16*I4)</f>
        <v>0</v>
      </c>
      <c r="AA18" s="40">
        <f>($C$16*J2)+($D$16*I3)+($E$16*J3)+($F$16*J4)</f>
        <v>0</v>
      </c>
      <c r="AB18" s="44"/>
      <c r="AC18" s="40">
        <f>($C$16*L2)+($D$16*L3)+($E$16*M3)+($F$16*L4)</f>
        <v>0</v>
      </c>
      <c r="AD18" s="39">
        <f>($C$16*M2)+($D$16*L3)+($E$16*N3)+($F$16*M4)</f>
        <v>0</v>
      </c>
      <c r="AE18" s="40">
        <f>($C$16*N2)+($D$16*M3)+($E$16*O3)+($F$16*N4)</f>
        <v>0</v>
      </c>
      <c r="AF18" s="66"/>
      <c r="AG18" s="40">
        <f>($C$16*P2)+($D$16*O3)+($E$16*P3)+($F$16*P4)</f>
        <v>-0.9</v>
      </c>
      <c r="AI18" s="7" t="s">
        <v>2</v>
      </c>
      <c r="AJ18" s="49">
        <f t="shared" si="35"/>
        <v>0</v>
      </c>
      <c r="AK18" s="39">
        <f t="shared" si="36"/>
        <v>0</v>
      </c>
      <c r="AL18" s="9"/>
      <c r="AM18" s="63"/>
      <c r="AN18" s="49">
        <f t="shared" si="37"/>
        <v>0.9</v>
      </c>
      <c r="AO18" s="9"/>
      <c r="AP18" s="49">
        <f t="shared" si="38"/>
        <v>0</v>
      </c>
      <c r="AQ18" s="39">
        <f t="shared" si="39"/>
        <v>0</v>
      </c>
      <c r="AR18" s="49">
        <f t="shared" si="40"/>
        <v>0</v>
      </c>
      <c r="AS18" s="9"/>
      <c r="AT18" s="49">
        <f t="shared" si="41"/>
        <v>0</v>
      </c>
      <c r="AU18" s="39">
        <f t="shared" si="42"/>
        <v>0</v>
      </c>
      <c r="AV18" s="49">
        <f t="shared" si="42"/>
        <v>0</v>
      </c>
      <c r="AW18" s="66"/>
      <c r="AX18" s="49">
        <f t="shared" si="43"/>
        <v>-0.9</v>
      </c>
    </row>
    <row r="19" spans="2:50" ht="22.5" customHeight="1">
      <c r="R19" s="7" t="s">
        <v>3</v>
      </c>
      <c r="S19" s="40">
        <f>($C$17*B2)+($D$17*B3)+($E$17*C3)+($F$17*B4)</f>
        <v>0</v>
      </c>
      <c r="T19" s="39">
        <f>($C$17*C2)+($D$17*B3)+($E$17*C3)+($F$17*C4)</f>
        <v>0</v>
      </c>
      <c r="U19" s="44"/>
      <c r="V19" s="63"/>
      <c r="W19" s="40">
        <f>($C$17*F2)+($D$17*E3)+($E$17*F3)+($F$17*F4)</f>
        <v>0</v>
      </c>
      <c r="X19" s="44"/>
      <c r="Y19" s="40">
        <f>($C$17*H2)+($D$17*H3)+($E$17*I3)+($F$17*H4)</f>
        <v>0</v>
      </c>
      <c r="Z19" s="39">
        <f>($C$17*I2)+($D$17*H3)+($E$17*J3)+($F$17*I4)</f>
        <v>0</v>
      </c>
      <c r="AA19" s="40">
        <f>($C$17*J2)+($D$17*I3)+($E$17*J3)+($F$17*J4)</f>
        <v>0</v>
      </c>
      <c r="AB19" s="44"/>
      <c r="AC19" s="40">
        <f>($C$17*L2)+($D$17*L3)+($E$17*M3)+($F$17*L4)</f>
        <v>0</v>
      </c>
      <c r="AD19" s="39">
        <f>($C$17*M2)+($D$17*L3)+($E$17*N3)+($F$17*M4)</f>
        <v>0</v>
      </c>
      <c r="AE19" s="40">
        <f>($C$17*N2)+($D$17*M3)+($E$17*O3)+($F$17*N4)</f>
        <v>-0.70000000000000007</v>
      </c>
      <c r="AF19" s="66"/>
      <c r="AG19" s="40">
        <f>($C$17*P2)+($D$17*O3)+($E$17*P3)+($F$17*P4)</f>
        <v>0</v>
      </c>
      <c r="AI19" s="7" t="s">
        <v>3</v>
      </c>
      <c r="AJ19" s="49">
        <f t="shared" si="35"/>
        <v>0</v>
      </c>
      <c r="AK19" s="39">
        <f t="shared" si="36"/>
        <v>0</v>
      </c>
      <c r="AL19" s="9"/>
      <c r="AM19" s="63"/>
      <c r="AN19" s="49">
        <f t="shared" si="37"/>
        <v>0</v>
      </c>
      <c r="AO19" s="9"/>
      <c r="AP19" s="49">
        <f t="shared" si="38"/>
        <v>0</v>
      </c>
      <c r="AQ19" s="39">
        <f t="shared" si="39"/>
        <v>0</v>
      </c>
      <c r="AR19" s="49">
        <f t="shared" si="40"/>
        <v>0</v>
      </c>
      <c r="AS19" s="9"/>
      <c r="AT19" s="49">
        <f t="shared" si="41"/>
        <v>0</v>
      </c>
      <c r="AU19" s="39">
        <f t="shared" si="42"/>
        <v>0</v>
      </c>
      <c r="AV19" s="49">
        <f t="shared" si="42"/>
        <v>-0.70000000000000007</v>
      </c>
      <c r="AW19" s="66"/>
      <c r="AX19" s="49">
        <f t="shared" si="43"/>
        <v>0</v>
      </c>
    </row>
    <row r="20" spans="2:50" ht="22.5" customHeight="1">
      <c r="R20" s="7" t="s">
        <v>4</v>
      </c>
      <c r="S20" s="40">
        <f>($C$18*B2)+($D$18*B3)+($E$18*C3)+($F$18*B4)</f>
        <v>0</v>
      </c>
      <c r="T20" s="39">
        <f>($C$18*C2)+($D$18*B3)+($E$18*C3)+($F$18*C4)</f>
        <v>0</v>
      </c>
      <c r="U20" s="45"/>
      <c r="V20" s="64"/>
      <c r="W20" s="40">
        <f>($C$18*F2)+($D$18*E3)+($E$18*F3)+($F$18*F4)</f>
        <v>0</v>
      </c>
      <c r="X20" s="45"/>
      <c r="Y20" s="40">
        <f>($C$18*H2)+($D$18*H3)+($E$18*I3)+($F$18*H4)</f>
        <v>0</v>
      </c>
      <c r="Z20" s="39">
        <f>($C$18*I2)+($D$18*H3)+($E$18*J3)+($F$18*I4)</f>
        <v>0</v>
      </c>
      <c r="AA20" s="40">
        <f>($C$18*J2)+($D$18*I3)+($E$18*J3)+($F$18*J4)</f>
        <v>0</v>
      </c>
      <c r="AB20" s="45"/>
      <c r="AC20" s="40">
        <f>($C$18*L2)+($D$18*L3)+($E$18*M3)+($F$18*L4)</f>
        <v>0</v>
      </c>
      <c r="AD20" s="39">
        <f>($C$18*M2)+($D$18*L3)+($E$18*N3)+($F$18*M4)</f>
        <v>0</v>
      </c>
      <c r="AE20" s="40">
        <f>($C$18*N2)+($D$18*M3)+($E$18*O3)+($F$18*N4)</f>
        <v>0.8</v>
      </c>
      <c r="AF20" s="67"/>
      <c r="AG20" s="40">
        <f>($C$18*P2)+($D$18*O3)+($E$18*P3)+($F$18*P4)</f>
        <v>0</v>
      </c>
      <c r="AI20" s="7" t="s">
        <v>4</v>
      </c>
      <c r="AJ20" s="50">
        <f t="shared" si="35"/>
        <v>0</v>
      </c>
      <c r="AK20" s="47">
        <f t="shared" si="36"/>
        <v>0</v>
      </c>
      <c r="AL20" s="10"/>
      <c r="AM20" s="64"/>
      <c r="AN20" s="50">
        <f t="shared" si="37"/>
        <v>0</v>
      </c>
      <c r="AO20" s="10"/>
      <c r="AP20" s="50">
        <f t="shared" si="38"/>
        <v>0</v>
      </c>
      <c r="AQ20" s="47">
        <f t="shared" si="39"/>
        <v>0</v>
      </c>
      <c r="AR20" s="50">
        <f t="shared" si="40"/>
        <v>0</v>
      </c>
      <c r="AS20" s="10"/>
      <c r="AT20" s="50">
        <f t="shared" si="41"/>
        <v>0</v>
      </c>
      <c r="AU20" s="47">
        <f t="shared" si="42"/>
        <v>0</v>
      </c>
      <c r="AV20" s="50">
        <f t="shared" si="42"/>
        <v>0.8</v>
      </c>
      <c r="AW20" s="67"/>
      <c r="AX20" s="50">
        <f t="shared" si="43"/>
        <v>0</v>
      </c>
    </row>
    <row r="21" spans="2:50" ht="22.5" customHeight="1">
      <c r="R21" s="7" t="s">
        <v>1</v>
      </c>
      <c r="S21" s="36">
        <f>($C$15*B3)+($D$15*B4)+($E$15*C4)+($F$15*B5)</f>
        <v>0</v>
      </c>
      <c r="T21" s="37">
        <f>($C$15*C3)+($D$15*B4)+($E$15*C4)+($F$15*C5)</f>
        <v>0</v>
      </c>
      <c r="U21" s="43"/>
      <c r="V21" s="37">
        <f>($C$15*E3)+($D$15*E4)+($E$15*F4)+($F$15*E5)</f>
        <v>0.8</v>
      </c>
      <c r="W21" s="36">
        <f>($C$15*F3)+($D$15*E4)+($E$15*G4)+($F$15*F5)</f>
        <v>0</v>
      </c>
      <c r="X21" s="37">
        <f>($C$15*G4)+($D$15*F4)+($E$15*H4)+($F$15*G5)</f>
        <v>0</v>
      </c>
      <c r="Y21" s="36">
        <f>($C$15*H3)+($D$15*G4)+($E$15*I4)+($F$15*H5)</f>
        <v>0</v>
      </c>
      <c r="Z21" s="37">
        <f>($C$15*I3)+($D$15*H4)+($E$15*J4)+($F$15*I5)</f>
        <v>0</v>
      </c>
      <c r="AA21" s="37">
        <f>($C$15*J3)+($D$15*I4)+($E$15*K4)+($F$15*J5)</f>
        <v>-0.1</v>
      </c>
      <c r="AB21" s="65">
        <v>-1</v>
      </c>
      <c r="AC21" s="37">
        <f>($C$15*L3)+($D$15*K4)+($E$15*M4)+($F$15*L5)</f>
        <v>-0.1</v>
      </c>
      <c r="AD21" s="37">
        <f>($C$15*M3)+($D$15*L4)+($E$15*N4)+($F$15*M5)</f>
        <v>0.1</v>
      </c>
      <c r="AE21" s="62">
        <v>1</v>
      </c>
      <c r="AF21" s="37">
        <f>($C$15*O3)+($D$15*N4)+($E$15*P4)+($F$15*O4)</f>
        <v>-0.70000000000000007</v>
      </c>
      <c r="AG21" s="37">
        <f>($C$15*P3)+($D$15*O4)+($E$15*P4)+($F$15*P4)</f>
        <v>0</v>
      </c>
      <c r="AI21" s="7" t="s">
        <v>1</v>
      </c>
      <c r="AJ21" s="36">
        <f t="shared" si="35"/>
        <v>0</v>
      </c>
      <c r="AK21" s="48">
        <f t="shared" si="36"/>
        <v>0</v>
      </c>
      <c r="AL21" s="8"/>
      <c r="AM21" s="48">
        <f t="shared" ref="AM21:AM52" si="44">V21</f>
        <v>0.8</v>
      </c>
      <c r="AN21" s="36">
        <f t="shared" si="37"/>
        <v>0</v>
      </c>
      <c r="AO21" s="48">
        <f t="shared" ref="AO21:AO28" si="45">X21</f>
        <v>0</v>
      </c>
      <c r="AP21" s="36">
        <f t="shared" si="38"/>
        <v>0</v>
      </c>
      <c r="AQ21" s="48">
        <f t="shared" si="39"/>
        <v>0</v>
      </c>
      <c r="AR21" s="36">
        <f t="shared" si="40"/>
        <v>-0.1</v>
      </c>
      <c r="AS21" s="65">
        <v>-1</v>
      </c>
      <c r="AT21" s="36">
        <f t="shared" ref="AT21:AU28" si="46">AC21</f>
        <v>-0.1</v>
      </c>
      <c r="AU21" s="48">
        <f t="shared" si="46"/>
        <v>0.1</v>
      </c>
      <c r="AV21" s="62">
        <v>1</v>
      </c>
      <c r="AW21" s="48">
        <f t="shared" ref="AW21:AW24" si="47">AF21</f>
        <v>-0.70000000000000007</v>
      </c>
      <c r="AX21" s="36">
        <f>AG21</f>
        <v>0</v>
      </c>
    </row>
    <row r="22" spans="2:50" ht="22.5" customHeight="1">
      <c r="R22" s="7" t="s">
        <v>2</v>
      </c>
      <c r="S22" s="39">
        <f>($C$16*B3)+($D$16*B4)+($E$16*C4)+($F$16*B5)</f>
        <v>0</v>
      </c>
      <c r="T22" s="40">
        <f>($C$16*C3)+($D$16*B4)+($E$16*C4)+($F$16*C5)</f>
        <v>0</v>
      </c>
      <c r="U22" s="44"/>
      <c r="V22" s="40">
        <f>($C$16*E3)+($D$16*E4)+($E$16*F4)+($F$16*E5)</f>
        <v>0.1</v>
      </c>
      <c r="W22" s="39">
        <f>($C$16*F3)+($D$16*E4)+($E$16*G4)+($F$16*F5)</f>
        <v>0</v>
      </c>
      <c r="X22" s="40">
        <f>($C$16*G4)+($D$16*F4)+($E$16*H4)+($F$16*G5)</f>
        <v>0</v>
      </c>
      <c r="Y22" s="39">
        <f>($C$16*H3)+($D$16*G4)+($E$16*I4)+($F$16*H5)</f>
        <v>0</v>
      </c>
      <c r="Z22" s="40">
        <f>($C$16*I3)+($D$16*H4)+($E$16*J4)+($F$16*I5)</f>
        <v>0</v>
      </c>
      <c r="AA22" s="40">
        <f>($C$16*J3)+($D$16*I4)+($E$16*K4)+($F$16*J5)</f>
        <v>0</v>
      </c>
      <c r="AB22" s="66"/>
      <c r="AC22" s="40">
        <f>($C$16*L3)+($D$16*K4)+($E$16*M4)+($F$16*L5)</f>
        <v>-0.9</v>
      </c>
      <c r="AD22" s="40">
        <f>($C$16*M3)+($D$16*L4)+($E$16*N4)+($F$16*M5)</f>
        <v>0</v>
      </c>
      <c r="AE22" s="63"/>
      <c r="AF22" s="40">
        <f>($C$16*O3)+($D$16*N4)+($E$16*P4)+($F$16*O4)</f>
        <v>0.8</v>
      </c>
      <c r="AG22" s="40">
        <f>($C$16*P3)+($D$16*O4)+($E$16*P4)+($F$16*P4)</f>
        <v>0</v>
      </c>
      <c r="AI22" s="7" t="s">
        <v>2</v>
      </c>
      <c r="AJ22" s="39">
        <f t="shared" si="35"/>
        <v>0</v>
      </c>
      <c r="AK22" s="49">
        <f t="shared" si="36"/>
        <v>0</v>
      </c>
      <c r="AL22" s="9"/>
      <c r="AM22" s="49">
        <f t="shared" si="44"/>
        <v>0.1</v>
      </c>
      <c r="AN22" s="39">
        <f t="shared" si="37"/>
        <v>0</v>
      </c>
      <c r="AO22" s="49">
        <f t="shared" si="45"/>
        <v>0</v>
      </c>
      <c r="AP22" s="39">
        <f t="shared" si="38"/>
        <v>0</v>
      </c>
      <c r="AQ22" s="49">
        <f t="shared" si="39"/>
        <v>0</v>
      </c>
      <c r="AR22" s="39">
        <f t="shared" si="40"/>
        <v>0</v>
      </c>
      <c r="AS22" s="66"/>
      <c r="AT22" s="39">
        <f t="shared" si="46"/>
        <v>-0.9</v>
      </c>
      <c r="AU22" s="49">
        <f t="shared" si="46"/>
        <v>0</v>
      </c>
      <c r="AV22" s="63"/>
      <c r="AW22" s="49">
        <f t="shared" si="47"/>
        <v>0.8</v>
      </c>
      <c r="AX22" s="39">
        <f>AG22</f>
        <v>0</v>
      </c>
    </row>
    <row r="23" spans="2:50" ht="22.5" customHeight="1">
      <c r="R23" s="7" t="s">
        <v>3</v>
      </c>
      <c r="S23" s="39">
        <f>($C$17*B3)+($D$17*B4)+($E$17*C4)+($F$17*B5)</f>
        <v>0</v>
      </c>
      <c r="T23" s="40">
        <f>($C$17*C3)+($D$17*B4)+($E$17*C4)+($F$17*C5)</f>
        <v>0</v>
      </c>
      <c r="U23" s="44"/>
      <c r="V23" s="40">
        <f>($C$17*E3)+($D$17*E4)+($E$17*F4)+($F$17*E5)</f>
        <v>0.1</v>
      </c>
      <c r="W23" s="39">
        <f>($C$17*F3)+($D$17*E4)+($E$17*G4)+($F$17*F5)</f>
        <v>0</v>
      </c>
      <c r="X23" s="40">
        <f>($C$17*G4)+($D$17*F4)+($E$17*H4)+($F$17*G5)</f>
        <v>0</v>
      </c>
      <c r="Y23" s="39">
        <f>($C$17*H3)+($D$17*G4)+($E$17*I4)+($F$17*H5)</f>
        <v>0</v>
      </c>
      <c r="Z23" s="40">
        <f>($C$17*I3)+($D$17*H4)+($E$17*J4)+($F$17*I5)</f>
        <v>0</v>
      </c>
      <c r="AA23" s="40">
        <f>($C$17*J3)+($D$17*I4)+($E$17*K4)+($F$17*J5)</f>
        <v>-0.8</v>
      </c>
      <c r="AB23" s="66"/>
      <c r="AC23" s="40">
        <f>($C$17*L3)+($D$17*K4)+($E$17*M4)+($F$17*L5)</f>
        <v>0</v>
      </c>
      <c r="AD23" s="40">
        <f>($C$17*M3)+($D$17*L4)+($E$17*N4)+($F$17*M5)</f>
        <v>0.8</v>
      </c>
      <c r="AE23" s="63"/>
      <c r="AF23" s="40">
        <f>($C$17*O3)+($D$17*N4)+($E$17*P4)+($F$17*O4)</f>
        <v>-0.1</v>
      </c>
      <c r="AG23" s="40">
        <f>($C$17*P3)+($D$17*O4)+($E$17*P4)+($F$17*P4)</f>
        <v>0</v>
      </c>
      <c r="AI23" s="7" t="s">
        <v>3</v>
      </c>
      <c r="AJ23" s="39">
        <f t="shared" si="35"/>
        <v>0</v>
      </c>
      <c r="AK23" s="49">
        <f t="shared" si="36"/>
        <v>0</v>
      </c>
      <c r="AL23" s="9"/>
      <c r="AM23" s="49">
        <f t="shared" si="44"/>
        <v>0.1</v>
      </c>
      <c r="AN23" s="39">
        <f t="shared" si="37"/>
        <v>0</v>
      </c>
      <c r="AO23" s="49">
        <f t="shared" si="45"/>
        <v>0</v>
      </c>
      <c r="AP23" s="39">
        <f t="shared" si="38"/>
        <v>0</v>
      </c>
      <c r="AQ23" s="49">
        <f t="shared" si="39"/>
        <v>0</v>
      </c>
      <c r="AR23" s="39">
        <f t="shared" si="40"/>
        <v>-0.8</v>
      </c>
      <c r="AS23" s="66"/>
      <c r="AT23" s="39">
        <f t="shared" si="46"/>
        <v>0</v>
      </c>
      <c r="AU23" s="49">
        <f t="shared" si="46"/>
        <v>0.8</v>
      </c>
      <c r="AV23" s="63"/>
      <c r="AW23" s="49">
        <f t="shared" si="47"/>
        <v>-0.1</v>
      </c>
      <c r="AX23" s="39">
        <f>AG23</f>
        <v>0</v>
      </c>
    </row>
    <row r="24" spans="2:50" ht="22.5" customHeight="1">
      <c r="R24" s="7" t="s">
        <v>4</v>
      </c>
      <c r="S24" s="39">
        <f>($C$18*B3)+($D$18*B4)+($E$18*C4)+($F$18*B5)</f>
        <v>0</v>
      </c>
      <c r="T24" s="40">
        <f>($C$18*C3)+($D$18*B4)+($E$18*C4)+($F$18*C5)</f>
        <v>0</v>
      </c>
      <c r="U24" s="45"/>
      <c r="V24" s="40">
        <f>($C$18*E3)+($D$18*E4)+($E$18*F4)+($F$18*E5)</f>
        <v>0</v>
      </c>
      <c r="W24" s="39">
        <f>($C$18*F3)+($D$18*E4)+($E$18*G4)+($F$18*F5)</f>
        <v>0</v>
      </c>
      <c r="X24" s="40">
        <f>($C$18*G4)+($D$18*F4)+($E$18*H4)+($F$18*G5)</f>
        <v>0</v>
      </c>
      <c r="Y24" s="39">
        <f>($C$18*H3)+($D$18*G4)+($E$18*I4)+($F$18*H5)</f>
        <v>0</v>
      </c>
      <c r="Z24" s="40">
        <f>($C$18*I3)+($D$18*H4)+($E$18*J4)+($F$18*I5)</f>
        <v>0</v>
      </c>
      <c r="AA24" s="40">
        <f>($C$18*J3)+($D$18*I4)+($E$18*K4)+($F$18*J5)</f>
        <v>-0.1</v>
      </c>
      <c r="AB24" s="67"/>
      <c r="AC24" s="40">
        <f>($C$18*L3)+($D$18*K4)+($E$18*M4)+($F$18*L5)</f>
        <v>0</v>
      </c>
      <c r="AD24" s="40">
        <f>($C$18*M3)+($D$18*L4)+($E$18*N4)+($F$18*M5)</f>
        <v>0.1</v>
      </c>
      <c r="AE24" s="64"/>
      <c r="AF24" s="40">
        <f>($C$18*O3)+($D$18*N4)+($E$18*P4)+($F$18*O4)</f>
        <v>0</v>
      </c>
      <c r="AG24" s="40">
        <f>($C$18*P3)+($D$18*O4)+($E$18*P4)+($F$18*P4)</f>
        <v>0</v>
      </c>
      <c r="AI24" s="7" t="s">
        <v>4</v>
      </c>
      <c r="AJ24" s="47">
        <f t="shared" si="35"/>
        <v>0</v>
      </c>
      <c r="AK24" s="50">
        <f t="shared" si="36"/>
        <v>0</v>
      </c>
      <c r="AL24" s="10"/>
      <c r="AM24" s="50">
        <f t="shared" si="44"/>
        <v>0</v>
      </c>
      <c r="AN24" s="47">
        <f t="shared" si="37"/>
        <v>0</v>
      </c>
      <c r="AO24" s="50">
        <f t="shared" si="45"/>
        <v>0</v>
      </c>
      <c r="AP24" s="47">
        <f t="shared" si="38"/>
        <v>0</v>
      </c>
      <c r="AQ24" s="50">
        <f t="shared" si="39"/>
        <v>0</v>
      </c>
      <c r="AR24" s="47">
        <f t="shared" si="40"/>
        <v>-0.1</v>
      </c>
      <c r="AS24" s="67"/>
      <c r="AT24" s="47">
        <f t="shared" si="46"/>
        <v>0</v>
      </c>
      <c r="AU24" s="50">
        <f t="shared" si="46"/>
        <v>0.1</v>
      </c>
      <c r="AV24" s="64"/>
      <c r="AW24" s="50">
        <f t="shared" si="47"/>
        <v>0</v>
      </c>
      <c r="AX24" s="47">
        <f>AG24</f>
        <v>0</v>
      </c>
    </row>
    <row r="25" spans="2:50" ht="22.5" customHeight="1">
      <c r="R25" s="7" t="s">
        <v>1</v>
      </c>
      <c r="S25" s="37">
        <f>($C$15*B4)+($D$15*B5)+($E$15*C5)+($F$15*B6)</f>
        <v>0</v>
      </c>
      <c r="T25" s="36">
        <f>($C$15*C4)+($D$15*B5)+($E$15*D5)+($F$15*C6)</f>
        <v>0</v>
      </c>
      <c r="U25" s="37">
        <f>($C$15*D5)+($D$15*C5)+($E$15*E5)+($F$15*D6)</f>
        <v>0</v>
      </c>
      <c r="V25" s="36">
        <f>($C$15*E4)+($D$15*D5)+($E$15*F5)+($F$15*E6)</f>
        <v>0</v>
      </c>
      <c r="W25" s="37">
        <f>($C$15*F4)+($D$15*E5)+($E$15*G5)+($F$15*F5)</f>
        <v>0</v>
      </c>
      <c r="X25" s="36">
        <f>($C$15*G4)+($D$15*F5)+($E$15*H5)+($F$15*G6)</f>
        <v>0</v>
      </c>
      <c r="Y25" s="37">
        <f>($C$15*H4)+($D$15*G5)+($E$15*I5)+($F$15*H6)</f>
        <v>0</v>
      </c>
      <c r="Z25" s="36">
        <f>($C$15*I4)+($D$15*H5)+($E$15*J5)+($F$15*I5)</f>
        <v>0</v>
      </c>
      <c r="AA25" s="37">
        <f>($C$15*J4)+($D$15*I5)+($E$15*K5)+($F$15*J6)</f>
        <v>0</v>
      </c>
      <c r="AB25" s="36">
        <f>($C$15*K4)+($D$15*J5)+($E$15*L5)+($F$15*K6)</f>
        <v>-0.8</v>
      </c>
      <c r="AC25" s="37">
        <f>($C$15*L4)+($D$15*K5)+($E$15*M5)+($F$15*L6)</f>
        <v>0</v>
      </c>
      <c r="AD25" s="36">
        <f>($C$15*M4)+($D$15*L5)+($E$15*N5)+($F$15*M6)</f>
        <v>0</v>
      </c>
      <c r="AE25" s="37">
        <f>($C$15*N4)+($D$15*M5)+($E$15*N5)+($F$15*N6)</f>
        <v>0.8</v>
      </c>
      <c r="AF25" s="43"/>
      <c r="AG25" s="43"/>
      <c r="AI25" s="7" t="s">
        <v>1</v>
      </c>
      <c r="AJ25" s="48">
        <f t="shared" si="35"/>
        <v>0</v>
      </c>
      <c r="AK25" s="36">
        <f t="shared" si="36"/>
        <v>0</v>
      </c>
      <c r="AL25" s="48">
        <f t="shared" ref="AL25:AL52" si="48">U25</f>
        <v>0</v>
      </c>
      <c r="AM25" s="36">
        <f t="shared" si="44"/>
        <v>0</v>
      </c>
      <c r="AN25" s="48">
        <f t="shared" si="37"/>
        <v>0</v>
      </c>
      <c r="AO25" s="36">
        <f t="shared" si="45"/>
        <v>0</v>
      </c>
      <c r="AP25" s="48">
        <f t="shared" si="38"/>
        <v>0</v>
      </c>
      <c r="AQ25" s="36">
        <f t="shared" si="39"/>
        <v>0</v>
      </c>
      <c r="AR25" s="48">
        <f t="shared" si="40"/>
        <v>0</v>
      </c>
      <c r="AS25" s="36">
        <f t="shared" ref="AS25:AS32" si="49">AB25</f>
        <v>-0.8</v>
      </c>
      <c r="AT25" s="48">
        <f t="shared" si="46"/>
        <v>0</v>
      </c>
      <c r="AU25" s="36">
        <f t="shared" si="46"/>
        <v>0</v>
      </c>
      <c r="AV25" s="48">
        <f>AE25</f>
        <v>0.8</v>
      </c>
      <c r="AW25" s="8"/>
      <c r="AX25" s="8"/>
    </row>
    <row r="26" spans="2:50" ht="22.5" customHeight="1">
      <c r="R26" s="7" t="s">
        <v>2</v>
      </c>
      <c r="S26" s="40">
        <f>($C$16*B4)+($D$16*B5)+($E$16*C5)+($F$16*B6)</f>
        <v>0</v>
      </c>
      <c r="T26" s="39">
        <f>($C$16*C4)+($D$16*B5)+($E$16*D5)+($F$16*C6)</f>
        <v>0</v>
      </c>
      <c r="U26" s="40">
        <f>($C$16*D5)+($D$16*C5)+($E$16*E5)+($F$16*D6)</f>
        <v>0</v>
      </c>
      <c r="V26" s="39">
        <f>($C$16*E4)+($D$16*D5)+($E$16*F5)+($F$16*E6)</f>
        <v>0</v>
      </c>
      <c r="W26" s="40">
        <f>($C$16*F4)+($D$16*E5)+($E$16*G5)+($F$16*F5)</f>
        <v>0</v>
      </c>
      <c r="X26" s="39">
        <f>($C$16*G4)+($D$16*F5)+($E$16*H5)+($F$16*G6)</f>
        <v>0</v>
      </c>
      <c r="Y26" s="40">
        <f>($C$16*H4)+($D$16*G5)+($E$16*I5)+($F$16*H6)</f>
        <v>0</v>
      </c>
      <c r="Z26" s="39">
        <f>($C$16*I4)+($D$16*H5)+($E$16*J5)+($F$16*I5)</f>
        <v>0</v>
      </c>
      <c r="AA26" s="40">
        <f>($C$16*J4)+($D$16*I5)+($E$16*K5)+($F$16*J6)</f>
        <v>0</v>
      </c>
      <c r="AB26" s="39">
        <f>($C$16*K4)+($D$16*J5)+($E$16*L5)+($F$16*K6)</f>
        <v>-0.1</v>
      </c>
      <c r="AC26" s="40">
        <f>($C$16*L4)+($D$16*K5)+($E$16*M5)+($F$16*L6)</f>
        <v>0</v>
      </c>
      <c r="AD26" s="39">
        <f>($C$16*M4)+($D$16*L5)+($E$16*N5)+($F$16*M6)</f>
        <v>0</v>
      </c>
      <c r="AE26" s="40">
        <f>($C$16*N4)+($D$16*M5)+($E$16*N5)+($F$16*N6)</f>
        <v>0.1</v>
      </c>
      <c r="AF26" s="44"/>
      <c r="AG26" s="44"/>
      <c r="AI26" s="7" t="s">
        <v>2</v>
      </c>
      <c r="AJ26" s="49">
        <f t="shared" si="35"/>
        <v>0</v>
      </c>
      <c r="AK26" s="39">
        <f t="shared" si="36"/>
        <v>0</v>
      </c>
      <c r="AL26" s="49">
        <f t="shared" si="48"/>
        <v>0</v>
      </c>
      <c r="AM26" s="39">
        <f t="shared" si="44"/>
        <v>0</v>
      </c>
      <c r="AN26" s="49">
        <f t="shared" si="37"/>
        <v>0</v>
      </c>
      <c r="AO26" s="39">
        <f t="shared" si="45"/>
        <v>0</v>
      </c>
      <c r="AP26" s="49">
        <f t="shared" si="38"/>
        <v>0</v>
      </c>
      <c r="AQ26" s="39">
        <f t="shared" si="39"/>
        <v>0</v>
      </c>
      <c r="AR26" s="49">
        <f t="shared" si="40"/>
        <v>0</v>
      </c>
      <c r="AS26" s="39">
        <f t="shared" si="49"/>
        <v>-0.1</v>
      </c>
      <c r="AT26" s="49">
        <f t="shared" si="46"/>
        <v>0</v>
      </c>
      <c r="AU26" s="39">
        <f t="shared" si="46"/>
        <v>0</v>
      </c>
      <c r="AV26" s="49">
        <f>AE26</f>
        <v>0.1</v>
      </c>
      <c r="AW26" s="9"/>
      <c r="AX26" s="9"/>
    </row>
    <row r="27" spans="2:50" ht="22.5" customHeight="1">
      <c r="R27" s="7" t="s">
        <v>3</v>
      </c>
      <c r="S27" s="40">
        <f>($C$17*B4)+($D$17*B5)+($E$17*C5)+($F$17*B6)</f>
        <v>0</v>
      </c>
      <c r="T27" s="39">
        <f>($C$17*C4)+($D$17*B5)+($E$17*D5)+($F$17*C6)</f>
        <v>0</v>
      </c>
      <c r="U27" s="40">
        <f>($C$17*D5)+($D$17*C5)+($E$17*E5)+($F$17*D6)</f>
        <v>0</v>
      </c>
      <c r="V27" s="39">
        <f>($C$17*E4)+($D$17*D5)+($E$17*F5)+($F$17*E6)</f>
        <v>0</v>
      </c>
      <c r="W27" s="40">
        <f>($C$17*F4)+($D$17*E5)+($E$17*G5)+($F$17*F5)</f>
        <v>0</v>
      </c>
      <c r="X27" s="39">
        <f>($C$17*G4)+($D$17*F5)+($E$17*H5)+($F$17*G6)</f>
        <v>0</v>
      </c>
      <c r="Y27" s="40">
        <f>($C$17*H4)+($D$17*G5)+($E$17*I5)+($F$17*H6)</f>
        <v>0</v>
      </c>
      <c r="Z27" s="39">
        <f>($C$17*I4)+($D$17*H5)+($E$17*J5)+($F$17*I5)</f>
        <v>0</v>
      </c>
      <c r="AA27" s="40">
        <f>($C$17*J4)+($D$17*I5)+($E$17*K5)+($F$17*J6)</f>
        <v>0</v>
      </c>
      <c r="AB27" s="39">
        <f>($C$17*K4)+($D$17*J5)+($E$17*L5)+($F$17*K6)</f>
        <v>-0.1</v>
      </c>
      <c r="AC27" s="40">
        <f>($C$17*L4)+($D$17*K5)+($E$17*M5)+($F$17*L6)</f>
        <v>0</v>
      </c>
      <c r="AD27" s="39">
        <f>($C$17*M4)+($D$17*L5)+($E$17*N5)+($F$17*M6)</f>
        <v>0</v>
      </c>
      <c r="AE27" s="40">
        <f>($C$17*N4)+($D$17*M5)+($E$17*N5)+($F$17*N6)</f>
        <v>0.1</v>
      </c>
      <c r="AF27" s="44"/>
      <c r="AG27" s="44"/>
      <c r="AI27" s="7" t="s">
        <v>3</v>
      </c>
      <c r="AJ27" s="49">
        <f t="shared" si="35"/>
        <v>0</v>
      </c>
      <c r="AK27" s="39">
        <f t="shared" si="36"/>
        <v>0</v>
      </c>
      <c r="AL27" s="49">
        <f t="shared" si="48"/>
        <v>0</v>
      </c>
      <c r="AM27" s="39">
        <f t="shared" si="44"/>
        <v>0</v>
      </c>
      <c r="AN27" s="49">
        <f t="shared" si="37"/>
        <v>0</v>
      </c>
      <c r="AO27" s="39">
        <f t="shared" si="45"/>
        <v>0</v>
      </c>
      <c r="AP27" s="49">
        <f t="shared" si="38"/>
        <v>0</v>
      </c>
      <c r="AQ27" s="39">
        <f t="shared" si="39"/>
        <v>0</v>
      </c>
      <c r="AR27" s="49">
        <f t="shared" si="40"/>
        <v>0</v>
      </c>
      <c r="AS27" s="39">
        <f t="shared" si="49"/>
        <v>-0.1</v>
      </c>
      <c r="AT27" s="49">
        <f t="shared" si="46"/>
        <v>0</v>
      </c>
      <c r="AU27" s="39">
        <f t="shared" si="46"/>
        <v>0</v>
      </c>
      <c r="AV27" s="49">
        <f>AE27</f>
        <v>0.1</v>
      </c>
      <c r="AW27" s="9"/>
      <c r="AX27" s="9"/>
    </row>
    <row r="28" spans="2:50" ht="22.5" customHeight="1">
      <c r="R28" s="7" t="s">
        <v>4</v>
      </c>
      <c r="S28" s="40">
        <f>($C$18*B4)+($D$18*B5)+($E$18*C5)+($F$18*B6)</f>
        <v>0</v>
      </c>
      <c r="T28" s="39">
        <f>($C$18*C4)+($D$18*B5)+($E$18*D5)+($F$18*C6)</f>
        <v>0</v>
      </c>
      <c r="U28" s="40">
        <f>($C$18*D5)+($D$18*C5)+($E$18*E5)+($F$18*D6)</f>
        <v>0</v>
      </c>
      <c r="V28" s="39">
        <f>($C$18*E4)+($D$18*D5)+($E$18*F5)+($F$18*E6)</f>
        <v>0</v>
      </c>
      <c r="W28" s="40">
        <f>($C$18*F4)+($D$18*E5)+($E$18*G5)+($F$18*F5)</f>
        <v>0</v>
      </c>
      <c r="X28" s="39">
        <f>($C$18*G4)+($D$18*F5)+($E$18*H5)+($F$18*G6)</f>
        <v>0</v>
      </c>
      <c r="Y28" s="40">
        <f>($C$18*H4)+($D$18*G5)+($E$18*I5)+($F$18*H6)</f>
        <v>0</v>
      </c>
      <c r="Z28" s="39">
        <f>($C$18*I4)+($D$18*H5)+($E$18*J5)+($F$18*I5)</f>
        <v>0</v>
      </c>
      <c r="AA28" s="40">
        <f>($C$18*J4)+($D$18*I5)+($E$18*K5)+($F$18*J6)</f>
        <v>0</v>
      </c>
      <c r="AB28" s="39">
        <f>($C$18*K4)+($D$18*J5)+($E$18*L5)+($F$18*K6)</f>
        <v>0</v>
      </c>
      <c r="AC28" s="40">
        <f>($C$18*L4)+($D$18*K5)+($E$18*M5)+($F$18*L6)</f>
        <v>0</v>
      </c>
      <c r="AD28" s="39">
        <f>($C$18*M4)+($D$18*L5)+($E$18*N5)+($F$18*M6)</f>
        <v>0</v>
      </c>
      <c r="AE28" s="40">
        <f>($C$18*N4)+($D$18*M5)+($E$18*N5)+($F$18*N6)</f>
        <v>0</v>
      </c>
      <c r="AF28" s="45"/>
      <c r="AG28" s="45"/>
      <c r="AI28" s="7" t="s">
        <v>4</v>
      </c>
      <c r="AJ28" s="50">
        <f t="shared" si="35"/>
        <v>0</v>
      </c>
      <c r="AK28" s="47">
        <f t="shared" si="36"/>
        <v>0</v>
      </c>
      <c r="AL28" s="50">
        <f t="shared" si="48"/>
        <v>0</v>
      </c>
      <c r="AM28" s="47">
        <f t="shared" si="44"/>
        <v>0</v>
      </c>
      <c r="AN28" s="50">
        <f t="shared" si="37"/>
        <v>0</v>
      </c>
      <c r="AO28" s="47">
        <f t="shared" si="45"/>
        <v>0</v>
      </c>
      <c r="AP28" s="50">
        <f t="shared" si="38"/>
        <v>0</v>
      </c>
      <c r="AQ28" s="47">
        <f t="shared" si="39"/>
        <v>0</v>
      </c>
      <c r="AR28" s="50">
        <f t="shared" si="40"/>
        <v>0</v>
      </c>
      <c r="AS28" s="47">
        <f t="shared" si="49"/>
        <v>0</v>
      </c>
      <c r="AT28" s="50">
        <f t="shared" si="46"/>
        <v>0</v>
      </c>
      <c r="AU28" s="47">
        <f t="shared" si="46"/>
        <v>0</v>
      </c>
      <c r="AV28" s="50">
        <f>AE28</f>
        <v>0</v>
      </c>
      <c r="AW28" s="10"/>
      <c r="AX28" s="10"/>
    </row>
    <row r="29" spans="2:50" ht="22.5" customHeight="1">
      <c r="R29" s="7" t="s">
        <v>1</v>
      </c>
      <c r="S29" s="36">
        <f>($C$15*B5)+($D$15*B6)+($E$15*C6)+($F$15*B7)</f>
        <v>0</v>
      </c>
      <c r="T29" s="37">
        <f>($C$15*C5)+($D$15*B6)+($E$15*D6)+($F$15*C7)</f>
        <v>0</v>
      </c>
      <c r="U29" s="36">
        <f>($C$15*D5)+($D$15*C6)+($E$15*E6)+($F$15*D7)</f>
        <v>0</v>
      </c>
      <c r="V29" s="37">
        <f>($C$15*E5)+($D$15*D6)+($E$15*E6)+($F$15*E7)</f>
        <v>0</v>
      </c>
      <c r="W29" s="43"/>
      <c r="X29" s="37">
        <f>($C$15*G5)+($D$15*G6)+($E$15*H6)+($F$15*G7)</f>
        <v>0</v>
      </c>
      <c r="Y29" s="36">
        <f>($C$15*H5)+($D$15*G6)+($E$15*H6)+($F$15*H7)</f>
        <v>0</v>
      </c>
      <c r="Z29" s="43"/>
      <c r="AA29" s="36">
        <f>($C$15*J5)+($D$15*J6)+($E$15*K6)+($F$15*J7)</f>
        <v>0</v>
      </c>
      <c r="AB29" s="37">
        <f>($C$15*K5)+($D$15*J6)+($E$15*L6)+($F$15*K7)</f>
        <v>0</v>
      </c>
      <c r="AC29" s="36">
        <f>($C$15*L5)+($D$15*K6)+($E$15*M6)+($F$15*L7)</f>
        <v>0</v>
      </c>
      <c r="AD29" s="37">
        <f>($C$15*M5)+($D$15*L6)+($E$15*N6)+($F$15*M7)</f>
        <v>0</v>
      </c>
      <c r="AE29" s="36">
        <f>($C$15*N5)+($D$15*M6)+($E$15*O6)+($F$15*N7)</f>
        <v>0</v>
      </c>
      <c r="AF29" s="37">
        <f>($C$15*O6)+($D$15*N6)+($E$15*P6)+($F$15*O7)</f>
        <v>0</v>
      </c>
      <c r="AG29" s="36">
        <f>($C$15*P6)+($D$15*O6)+($E$15*P6)+($F$15*P7)</f>
        <v>0</v>
      </c>
      <c r="AI29" s="7" t="s">
        <v>1</v>
      </c>
      <c r="AJ29" s="36">
        <f t="shared" si="35"/>
        <v>0</v>
      </c>
      <c r="AK29" s="48">
        <f t="shared" si="36"/>
        <v>0</v>
      </c>
      <c r="AL29" s="36">
        <f t="shared" si="48"/>
        <v>0</v>
      </c>
      <c r="AM29" s="48">
        <f t="shared" si="44"/>
        <v>0</v>
      </c>
      <c r="AN29" s="8"/>
      <c r="AO29" s="48">
        <f t="shared" ref="AO29:AO32" si="50">X29</f>
        <v>0</v>
      </c>
      <c r="AP29" s="36">
        <f t="shared" ref="AP29:AP48" si="51">Y29</f>
        <v>0</v>
      </c>
      <c r="AQ29" s="8"/>
      <c r="AR29" s="36">
        <f>AA29</f>
        <v>0</v>
      </c>
      <c r="AS29" s="48">
        <f t="shared" si="49"/>
        <v>0</v>
      </c>
      <c r="AT29" s="36">
        <f t="shared" ref="AR29:AW40" si="52">AC29</f>
        <v>0</v>
      </c>
      <c r="AU29" s="48">
        <f t="shared" si="52"/>
        <v>0</v>
      </c>
      <c r="AV29" s="36">
        <f t="shared" si="52"/>
        <v>0</v>
      </c>
      <c r="AW29" s="48">
        <f t="shared" si="52"/>
        <v>0</v>
      </c>
      <c r="AX29" s="36">
        <f>AG29</f>
        <v>0</v>
      </c>
    </row>
    <row r="30" spans="2:50" ht="22.5" customHeight="1">
      <c r="R30" s="7" t="s">
        <v>2</v>
      </c>
      <c r="S30" s="39">
        <f>($C$16*B5)+($D$16*B6)+($E$16*C6)+($F$16*B7)</f>
        <v>0</v>
      </c>
      <c r="T30" s="40">
        <f>($C$16*C5)+($D$16*B6)+($E$16*D6)+($F$16*C7)</f>
        <v>0</v>
      </c>
      <c r="U30" s="39">
        <f>($C$16*D5)+($D$16*C6)+($E$16*E6)+($F$16*D7)</f>
        <v>0</v>
      </c>
      <c r="V30" s="40">
        <f>($C$16*E5)+($D$16*D6)+($E$16*E6)+($F$16*E7)</f>
        <v>0</v>
      </c>
      <c r="W30" s="44"/>
      <c r="X30" s="40">
        <f>($C$16*G5)+($D$16*G6)+($E$16*H6)+($F$16*G7)</f>
        <v>0</v>
      </c>
      <c r="Y30" s="39">
        <f>($C$16*H5)+($D$16*G6)+($E$16*H6)+($F$16*H7)</f>
        <v>0</v>
      </c>
      <c r="Z30" s="44"/>
      <c r="AA30" s="39">
        <f>($C$16*J5)+($D$16*J6)+($E$16*K6)+($F$16*J7)</f>
        <v>0</v>
      </c>
      <c r="AB30" s="40">
        <f>($C$16*K5)+($D$16*J6)+($E$16*L6)+($F$16*K7)</f>
        <v>0</v>
      </c>
      <c r="AC30" s="39">
        <f>($C$16*L5)+($D$16*K6)+($E$16*M6)+($F$16*L7)</f>
        <v>0</v>
      </c>
      <c r="AD30" s="40">
        <f>($C$16*M5)+($D$16*L6)+($E$16*N6)+($F$16*M7)</f>
        <v>0</v>
      </c>
      <c r="AE30" s="39">
        <f>($C$16*N5)+($D$16*M6)+($E$16*O6)+($F$16*N7)</f>
        <v>0</v>
      </c>
      <c r="AF30" s="40">
        <f>($C$16*O6)+($D$16*N6)+($E$16*P6)+($F$16*O7)</f>
        <v>0</v>
      </c>
      <c r="AG30" s="39">
        <f>($C$16*P6)+($D$16*O6)+($E$16*P6)+($F$16*P7)</f>
        <v>0</v>
      </c>
      <c r="AI30" s="7" t="s">
        <v>2</v>
      </c>
      <c r="AJ30" s="39">
        <f t="shared" si="35"/>
        <v>0</v>
      </c>
      <c r="AK30" s="49">
        <f t="shared" si="36"/>
        <v>0</v>
      </c>
      <c r="AL30" s="39">
        <f t="shared" si="48"/>
        <v>0</v>
      </c>
      <c r="AM30" s="49">
        <f t="shared" si="44"/>
        <v>0</v>
      </c>
      <c r="AN30" s="9"/>
      <c r="AO30" s="49">
        <f t="shared" si="50"/>
        <v>0</v>
      </c>
      <c r="AP30" s="39">
        <f t="shared" si="51"/>
        <v>0</v>
      </c>
      <c r="AQ30" s="9"/>
      <c r="AR30" s="39">
        <f>AA30</f>
        <v>0</v>
      </c>
      <c r="AS30" s="49">
        <f t="shared" si="49"/>
        <v>0</v>
      </c>
      <c r="AT30" s="39">
        <f t="shared" si="52"/>
        <v>0</v>
      </c>
      <c r="AU30" s="49">
        <f t="shared" si="52"/>
        <v>0</v>
      </c>
      <c r="AV30" s="39">
        <f t="shared" si="52"/>
        <v>0</v>
      </c>
      <c r="AW30" s="49">
        <f t="shared" si="52"/>
        <v>0</v>
      </c>
      <c r="AX30" s="39">
        <f>AG30</f>
        <v>0</v>
      </c>
    </row>
    <row r="31" spans="2:50" ht="22.5" customHeight="1">
      <c r="R31" s="7" t="s">
        <v>3</v>
      </c>
      <c r="S31" s="39">
        <f>($C$17*B5)+($D$17*B6)+($E$17*C6)+($F$17*B7)</f>
        <v>-0.1</v>
      </c>
      <c r="T31" s="40">
        <f>($C$17*C5)+($D$17*B6)+($E$17*D6)+($F$17*C7)</f>
        <v>0</v>
      </c>
      <c r="U31" s="39">
        <f>($C$17*D5)+($D$17*C6)+($E$17*E6)+($F$17*D7)</f>
        <v>0</v>
      </c>
      <c r="V31" s="40">
        <f>($C$17*E5)+($D$17*D6)+($E$17*E6)+($F$17*E7)</f>
        <v>0</v>
      </c>
      <c r="W31" s="44"/>
      <c r="X31" s="40">
        <f>($C$17*G5)+($D$17*G6)+($E$17*H6)+($F$17*G7)</f>
        <v>0</v>
      </c>
      <c r="Y31" s="39">
        <f>($C$17*H5)+($D$17*G6)+($E$17*H6)+($F$17*H7)</f>
        <v>0</v>
      </c>
      <c r="Z31" s="44"/>
      <c r="AA31" s="39">
        <f>($C$17*J5)+($D$17*J6)+($E$17*K6)+($F$17*J7)</f>
        <v>0</v>
      </c>
      <c r="AB31" s="40">
        <f>($C$17*K5)+($D$17*J6)+($E$17*L6)+($F$17*K7)</f>
        <v>0</v>
      </c>
      <c r="AC31" s="39">
        <f>($C$17*L5)+($D$17*K6)+($E$17*M6)+($F$17*L7)</f>
        <v>0</v>
      </c>
      <c r="AD31" s="40">
        <f>($C$17*M5)+($D$17*L6)+($E$17*N6)+($F$17*M7)</f>
        <v>0</v>
      </c>
      <c r="AE31" s="39">
        <f>($C$17*N5)+($D$17*M6)+($E$17*O6)+($F$17*N7)</f>
        <v>0</v>
      </c>
      <c r="AF31" s="40">
        <f>($C$17*O6)+($D$17*N6)+($E$17*P6)+($F$17*O7)</f>
        <v>0</v>
      </c>
      <c r="AG31" s="39">
        <f>($C$17*P6)+($D$17*O6)+($E$17*P6)+($F$17*P7)</f>
        <v>0</v>
      </c>
      <c r="AI31" s="7" t="s">
        <v>3</v>
      </c>
      <c r="AJ31" s="39">
        <f t="shared" si="35"/>
        <v>-0.1</v>
      </c>
      <c r="AK31" s="49">
        <f t="shared" si="36"/>
        <v>0</v>
      </c>
      <c r="AL31" s="39">
        <f t="shared" si="48"/>
        <v>0</v>
      </c>
      <c r="AM31" s="49">
        <f t="shared" si="44"/>
        <v>0</v>
      </c>
      <c r="AN31" s="9"/>
      <c r="AO31" s="49">
        <f t="shared" si="50"/>
        <v>0</v>
      </c>
      <c r="AP31" s="39">
        <f t="shared" si="51"/>
        <v>0</v>
      </c>
      <c r="AQ31" s="9"/>
      <c r="AR31" s="39">
        <f>AA31</f>
        <v>0</v>
      </c>
      <c r="AS31" s="49">
        <f t="shared" si="49"/>
        <v>0</v>
      </c>
      <c r="AT31" s="39">
        <f t="shared" si="52"/>
        <v>0</v>
      </c>
      <c r="AU31" s="49">
        <f t="shared" si="52"/>
        <v>0</v>
      </c>
      <c r="AV31" s="39">
        <f t="shared" si="52"/>
        <v>0</v>
      </c>
      <c r="AW31" s="49">
        <f t="shared" si="52"/>
        <v>0</v>
      </c>
      <c r="AX31" s="39">
        <f>AG31</f>
        <v>0</v>
      </c>
    </row>
    <row r="32" spans="2:50" ht="22.5" customHeight="1">
      <c r="R32" s="7" t="s">
        <v>4</v>
      </c>
      <c r="S32" s="39">
        <f>($C$18*B5)+($D$18*B6)+($E$18*C6)+($F$18*B7)</f>
        <v>-0.9</v>
      </c>
      <c r="T32" s="40">
        <f>($C$18*C5)+($D$18*B6)+($E$18*D6)+($F$18*C7)</f>
        <v>0</v>
      </c>
      <c r="U32" s="39">
        <f>($C$18*D5)+($D$18*C6)+($E$18*E6)+($F$18*D7)</f>
        <v>0</v>
      </c>
      <c r="V32" s="40">
        <f>($C$18*E5)+($D$18*D6)+($E$18*E6)+($F$18*E7)</f>
        <v>0</v>
      </c>
      <c r="W32" s="45"/>
      <c r="X32" s="40">
        <f>($C$18*G5)+($D$18*G6)+($E$18*H6)+($F$18*G7)</f>
        <v>0</v>
      </c>
      <c r="Y32" s="39">
        <f>($C$18*H5)+($D$18*G6)+($E$18*H6)+($F$18*H7)</f>
        <v>0</v>
      </c>
      <c r="Z32" s="45"/>
      <c r="AA32" s="39">
        <f>($C$18*J5)+($D$18*J6)+($E$18*K6)+($F$18*J7)</f>
        <v>0</v>
      </c>
      <c r="AB32" s="40">
        <f>($C$18*K5)+($D$18*J6)+($E$18*L6)+($F$18*K7)</f>
        <v>0</v>
      </c>
      <c r="AC32" s="39">
        <f>($C$18*L5)+($D$18*K6)+($E$18*M6)+($F$18*L7)</f>
        <v>0</v>
      </c>
      <c r="AD32" s="40">
        <f>($C$18*M5)+($D$18*L6)+($E$18*N6)+($F$18*M7)</f>
        <v>0</v>
      </c>
      <c r="AE32" s="39">
        <f>($C$18*N5)+($D$18*M6)+($E$18*O6)+($F$18*N7)</f>
        <v>0</v>
      </c>
      <c r="AF32" s="40">
        <f>($C$18*O6)+($D$18*N6)+($E$18*P6)+($F$18*O7)</f>
        <v>0</v>
      </c>
      <c r="AG32" s="39">
        <f>($C$18*P6)+($D$18*O6)+($E$18*P6)+($F$18*P7)</f>
        <v>0</v>
      </c>
      <c r="AI32" s="7" t="s">
        <v>4</v>
      </c>
      <c r="AJ32" s="47">
        <f t="shared" si="35"/>
        <v>-0.9</v>
      </c>
      <c r="AK32" s="50">
        <f t="shared" si="36"/>
        <v>0</v>
      </c>
      <c r="AL32" s="47">
        <f t="shared" si="48"/>
        <v>0</v>
      </c>
      <c r="AM32" s="50">
        <f t="shared" si="44"/>
        <v>0</v>
      </c>
      <c r="AN32" s="10"/>
      <c r="AO32" s="50">
        <f t="shared" si="50"/>
        <v>0</v>
      </c>
      <c r="AP32" s="47">
        <f t="shared" si="51"/>
        <v>0</v>
      </c>
      <c r="AQ32" s="10"/>
      <c r="AR32" s="47">
        <f>AA32</f>
        <v>0</v>
      </c>
      <c r="AS32" s="50">
        <f t="shared" si="49"/>
        <v>0</v>
      </c>
      <c r="AT32" s="47">
        <f t="shared" si="52"/>
        <v>0</v>
      </c>
      <c r="AU32" s="50">
        <f t="shared" si="52"/>
        <v>0</v>
      </c>
      <c r="AV32" s="47">
        <f t="shared" si="52"/>
        <v>0</v>
      </c>
      <c r="AW32" s="50">
        <f t="shared" si="52"/>
        <v>0</v>
      </c>
      <c r="AX32" s="47">
        <f>AG32</f>
        <v>0</v>
      </c>
    </row>
    <row r="33" spans="18:50" ht="22.5" customHeight="1">
      <c r="R33" s="7" t="s">
        <v>1</v>
      </c>
      <c r="S33" s="65">
        <v>-1</v>
      </c>
      <c r="T33" s="36">
        <f>($C$15*C6)+($D$15*B7)+($E$15*D7)+($F$15*C8)</f>
        <v>-0.1</v>
      </c>
      <c r="U33" s="37">
        <f>($C$15*D6)+($D$15*C7)+($E$15*E7)+($F$15*D8)</f>
        <v>0</v>
      </c>
      <c r="V33" s="36">
        <f>($C$15*E6)+($D$15*D7)+($E$15*F7)+($F$15*E8)</f>
        <v>0</v>
      </c>
      <c r="W33" s="37">
        <f>($C$15*F7)+($D$15*E7)+($E$15*G7)+($F$15*F8)</f>
        <v>0</v>
      </c>
      <c r="X33" s="36">
        <f>($C$15*G6)+($D$15*F7)+($E$15*H7)+($F$15*G8)</f>
        <v>0</v>
      </c>
      <c r="Y33" s="37">
        <f>($C$15*H6)+($D$15*G7)+($E$15*H7)+($F$15*H8)</f>
        <v>0</v>
      </c>
      <c r="Z33" s="43"/>
      <c r="AA33" s="37">
        <f>($C$15*J6)+($D$15*J7)+($E$15*K7)+($F$15*J8)</f>
        <v>0</v>
      </c>
      <c r="AB33" s="36">
        <f>($C$15*K6)+($D$15*J7)+($E$15*L7)+($F$15*K8)</f>
        <v>0</v>
      </c>
      <c r="AC33" s="37">
        <f>($C$15*L6)+($D$15*K7)+($E$15*M7)+($F$15*L7)</f>
        <v>0</v>
      </c>
      <c r="AD33" s="36">
        <f>($C$15*M6)+($D$15*L7)+($E$15*N7)+($F$15*M7)</f>
        <v>0</v>
      </c>
      <c r="AE33" s="37">
        <f>($C$15*N6)+($D$15*M7)+($E$15*O7)+($F$15*N8)</f>
        <v>0</v>
      </c>
      <c r="AF33" s="36">
        <f>($C$15*O6)+($D$15*N7)+($E$15*P7)+($F$15*O8)</f>
        <v>0</v>
      </c>
      <c r="AG33" s="37">
        <f>($C$15*P6)+($D$15*O7)+($E$15*P7)+($F$15*P8)</f>
        <v>0</v>
      </c>
      <c r="AI33" s="7" t="s">
        <v>1</v>
      </c>
      <c r="AJ33" s="65">
        <v>-1</v>
      </c>
      <c r="AK33" s="36">
        <f t="shared" ref="AK33:AK40" si="53">T33</f>
        <v>-0.1</v>
      </c>
      <c r="AL33" s="48">
        <f t="shared" si="48"/>
        <v>0</v>
      </c>
      <c r="AM33" s="36">
        <f t="shared" si="44"/>
        <v>0</v>
      </c>
      <c r="AN33" s="48">
        <f t="shared" ref="AN33:AO40" si="54">W33</f>
        <v>0</v>
      </c>
      <c r="AO33" s="36">
        <f t="shared" si="54"/>
        <v>0</v>
      </c>
      <c r="AP33" s="48">
        <f t="shared" si="51"/>
        <v>0</v>
      </c>
      <c r="AQ33" s="8"/>
      <c r="AR33" s="48">
        <f t="shared" si="52"/>
        <v>0</v>
      </c>
      <c r="AS33" s="36">
        <f t="shared" ref="AS33:AS40" si="55">AB33</f>
        <v>0</v>
      </c>
      <c r="AT33" s="48">
        <f t="shared" si="52"/>
        <v>0</v>
      </c>
      <c r="AU33" s="36">
        <f t="shared" si="52"/>
        <v>0</v>
      </c>
      <c r="AV33" s="48">
        <f t="shared" si="52"/>
        <v>0</v>
      </c>
      <c r="AW33" s="36">
        <f t="shared" si="52"/>
        <v>0</v>
      </c>
      <c r="AX33" s="48">
        <f t="shared" ref="AX33:AX40" si="56">AG33</f>
        <v>0</v>
      </c>
    </row>
    <row r="34" spans="18:50" ht="22.5" customHeight="1">
      <c r="R34" s="7" t="s">
        <v>2</v>
      </c>
      <c r="S34" s="66"/>
      <c r="T34" s="39">
        <f>($C$16*C6)+($D$16*B7)+($E$16*D7)+($F$16*C8)</f>
        <v>-0.9</v>
      </c>
      <c r="U34" s="40">
        <f>($C$16*D6)+($D$16*C7)+($E$16*E7)+($F$16*D8)</f>
        <v>0</v>
      </c>
      <c r="V34" s="39">
        <f>($C$16*E6)+($D$16*D7)+($E$16*F7)+($F$16*E8)</f>
        <v>0</v>
      </c>
      <c r="W34" s="40">
        <f>($C$16*F7)+($D$16*E7)+($E$16*G7)+($F$16*F8)</f>
        <v>0</v>
      </c>
      <c r="X34" s="39">
        <f>($C$16*G6)+($D$16*F7)+($E$16*H7)+($F$16*G8)</f>
        <v>0</v>
      </c>
      <c r="Y34" s="40">
        <f>($C$16*H6)+($D$16*G7)+($E$16*H7)+($F$16*H8)</f>
        <v>0</v>
      </c>
      <c r="Z34" s="44"/>
      <c r="AA34" s="40">
        <f>($C$16*J6)+($D$16*J7)+($E$16*K7)+($F$16*J8)</f>
        <v>0</v>
      </c>
      <c r="AB34" s="39">
        <f>($C$16*K6)+($D$16*J7)+($E$16*L7)+($F$16*K8)</f>
        <v>0</v>
      </c>
      <c r="AC34" s="40">
        <f>($C$16*L6)+($D$16*K7)+($E$16*M7)+($F$16*L7)</f>
        <v>0</v>
      </c>
      <c r="AD34" s="39">
        <f>($C$16*M6)+($D$16*L7)+($E$16*N7)+($F$16*L7)</f>
        <v>0</v>
      </c>
      <c r="AE34" s="40">
        <f>($C$16*N6)+($D$16*M7)+($E$16*O7)+($F$16*N8)</f>
        <v>0</v>
      </c>
      <c r="AF34" s="39">
        <f>($C$16*O6)+($D$16*N7)+($E$16*P7)+($F$16*O8)</f>
        <v>0</v>
      </c>
      <c r="AG34" s="40">
        <f>($C$16*P6)+($D$16*O7)+($E$16*P7)+($F$16*P8)</f>
        <v>0</v>
      </c>
      <c r="AI34" s="7" t="s">
        <v>2</v>
      </c>
      <c r="AJ34" s="66"/>
      <c r="AK34" s="39">
        <f t="shared" si="53"/>
        <v>-0.9</v>
      </c>
      <c r="AL34" s="49">
        <f t="shared" si="48"/>
        <v>0</v>
      </c>
      <c r="AM34" s="39">
        <f t="shared" si="44"/>
        <v>0</v>
      </c>
      <c r="AN34" s="49">
        <f t="shared" si="54"/>
        <v>0</v>
      </c>
      <c r="AO34" s="39">
        <f t="shared" si="54"/>
        <v>0</v>
      </c>
      <c r="AP34" s="49">
        <f t="shared" si="51"/>
        <v>0</v>
      </c>
      <c r="AQ34" s="9"/>
      <c r="AR34" s="49">
        <f t="shared" si="52"/>
        <v>0</v>
      </c>
      <c r="AS34" s="39">
        <f t="shared" si="55"/>
        <v>0</v>
      </c>
      <c r="AT34" s="49">
        <f t="shared" si="52"/>
        <v>0</v>
      </c>
      <c r="AU34" s="39">
        <f t="shared" si="52"/>
        <v>0</v>
      </c>
      <c r="AV34" s="49">
        <f t="shared" si="52"/>
        <v>0</v>
      </c>
      <c r="AW34" s="39">
        <f t="shared" si="52"/>
        <v>0</v>
      </c>
      <c r="AX34" s="49">
        <f t="shared" si="56"/>
        <v>0</v>
      </c>
    </row>
    <row r="35" spans="18:50" ht="22.5" customHeight="1">
      <c r="R35" s="7" t="s">
        <v>3</v>
      </c>
      <c r="S35" s="66"/>
      <c r="T35" s="39">
        <f>($C$17*C6)+($D$17*B7)+($E$17*D7)+($F$17*C8)</f>
        <v>0</v>
      </c>
      <c r="U35" s="40">
        <f>($C$17*D6)+($D$17*C7)+($E$17*E7)+($F$17*D8)</f>
        <v>0</v>
      </c>
      <c r="V35" s="39">
        <f>($C$17*E6)+($D$17*D7)+($E$17*F7)+($F$17*E8)</f>
        <v>0</v>
      </c>
      <c r="W35" s="40">
        <f>($C$17*F7)+($D$17*E7)+($E$17*G7)+($F$17*F8)</f>
        <v>0</v>
      </c>
      <c r="X35" s="39">
        <f>($C$17*G6)+($D$17*F7)+($E$17*H7)+($F$17*G8)</f>
        <v>0</v>
      </c>
      <c r="Y35" s="40">
        <f>($C$17*H6)+($D$17*G7)+($E$17*H7)+($F$17*H8)</f>
        <v>0</v>
      </c>
      <c r="Z35" s="44"/>
      <c r="AA35" s="40">
        <f>($C$17*J6)+($D$17*J7)+($E$17*K7)+($F$17*J8)</f>
        <v>0</v>
      </c>
      <c r="AB35" s="39">
        <f>($C$17*K6)+($D$17*J7)+($E$17*L7)+($F$17*K8)</f>
        <v>0</v>
      </c>
      <c r="AC35" s="40">
        <f>($C$17*L6)+($D$17*K7)+($E$17*M7)+($F$17*L7)</f>
        <v>0</v>
      </c>
      <c r="AD35" s="39">
        <f>($C$17*M6)+($D$17*L7)+($E$17*N7)+($F$17*L7)</f>
        <v>0</v>
      </c>
      <c r="AE35" s="40">
        <f>($C$17*N6)+($D$17*M7)+($E$17*O7)+($F$17*N8)</f>
        <v>0</v>
      </c>
      <c r="AF35" s="39">
        <f>($C$17*O6)+($D$17*N7)+($E$17*P7)+($F$17*O8)</f>
        <v>0</v>
      </c>
      <c r="AG35" s="40">
        <f>($C$17*P6)+($D$17*O7)+($E$17*P7)+($F$17*P8)</f>
        <v>0</v>
      </c>
      <c r="AI35" s="7" t="s">
        <v>3</v>
      </c>
      <c r="AJ35" s="66"/>
      <c r="AK35" s="39">
        <f t="shared" si="53"/>
        <v>0</v>
      </c>
      <c r="AL35" s="49">
        <f t="shared" si="48"/>
        <v>0</v>
      </c>
      <c r="AM35" s="39">
        <f t="shared" si="44"/>
        <v>0</v>
      </c>
      <c r="AN35" s="49">
        <f t="shared" si="54"/>
        <v>0</v>
      </c>
      <c r="AO35" s="39">
        <f t="shared" si="54"/>
        <v>0</v>
      </c>
      <c r="AP35" s="49">
        <f t="shared" si="51"/>
        <v>0</v>
      </c>
      <c r="AQ35" s="9"/>
      <c r="AR35" s="49">
        <f t="shared" si="52"/>
        <v>0</v>
      </c>
      <c r="AS35" s="39">
        <f t="shared" si="55"/>
        <v>0</v>
      </c>
      <c r="AT35" s="49">
        <f t="shared" si="52"/>
        <v>0</v>
      </c>
      <c r="AU35" s="39">
        <f t="shared" si="52"/>
        <v>0</v>
      </c>
      <c r="AV35" s="49">
        <f t="shared" si="52"/>
        <v>0</v>
      </c>
      <c r="AW35" s="39">
        <f t="shared" si="52"/>
        <v>0</v>
      </c>
      <c r="AX35" s="49">
        <f t="shared" si="56"/>
        <v>0</v>
      </c>
    </row>
    <row r="36" spans="18:50" ht="22.5" customHeight="1">
      <c r="R36" s="7" t="s">
        <v>4</v>
      </c>
      <c r="S36" s="67"/>
      <c r="T36" s="39">
        <f>($C$18*C6)+($D$18*B7)+($E$18*D7)+($F$18*C8)</f>
        <v>0</v>
      </c>
      <c r="U36" s="40">
        <f>($C$18*D6)+($D$18*C7)+($E$18*E7)+($F$18*D8)</f>
        <v>0</v>
      </c>
      <c r="V36" s="39">
        <f>($C$18*E6)+($D$18*D7)+($E$18*F7)+($F$18*E8)</f>
        <v>0</v>
      </c>
      <c r="W36" s="40">
        <f>($C$18*F7)+($D$18*E7)+($E$18*G7)+($F$18*F8)</f>
        <v>0</v>
      </c>
      <c r="X36" s="39">
        <f>($C$18*G6)+($D$18*F7)+($E$18*H7)+($F$18*G8)</f>
        <v>0</v>
      </c>
      <c r="Y36" s="40">
        <f>($C$18*H6)+($D$18*G7)+($E$18*H7)+($F$18*H8)</f>
        <v>0</v>
      </c>
      <c r="Z36" s="45"/>
      <c r="AA36" s="40">
        <f>($C$18*J6)+($D$18*J7)+($E$18*K7)+($F$18*J8)</f>
        <v>0</v>
      </c>
      <c r="AB36" s="39">
        <f>($C$18*K6)+($D$18*J7)+($E$18*L7)+($F$18*K8)</f>
        <v>0</v>
      </c>
      <c r="AC36" s="40">
        <f>($C$18*L6)+($D$18*K7)+($E$18*M7)+($F$18*L7)</f>
        <v>0</v>
      </c>
      <c r="AD36" s="39">
        <f>($C$18*M6)+($D$18*L7)+($E$18*N7)+($F$18*M7)</f>
        <v>0</v>
      </c>
      <c r="AE36" s="40">
        <f>($C$18*N6)+($D$18*M7)+($E$18*O7)+($F$18*N8)</f>
        <v>0</v>
      </c>
      <c r="AF36" s="39">
        <f>($C$18*O6)+($D$18*N7)+($E$18*P7)+($F$18*O8)</f>
        <v>0</v>
      </c>
      <c r="AG36" s="40">
        <f>($C$18*P6)+($D$18*O7)+($E$18*P7)+($F$18*P8)</f>
        <v>0</v>
      </c>
      <c r="AI36" s="7" t="s">
        <v>4</v>
      </c>
      <c r="AJ36" s="67"/>
      <c r="AK36" s="47">
        <f t="shared" si="53"/>
        <v>0</v>
      </c>
      <c r="AL36" s="50">
        <f t="shared" si="48"/>
        <v>0</v>
      </c>
      <c r="AM36" s="47">
        <f t="shared" si="44"/>
        <v>0</v>
      </c>
      <c r="AN36" s="50">
        <f t="shared" si="54"/>
        <v>0</v>
      </c>
      <c r="AO36" s="47">
        <f t="shared" si="54"/>
        <v>0</v>
      </c>
      <c r="AP36" s="50">
        <f t="shared" si="51"/>
        <v>0</v>
      </c>
      <c r="AQ36" s="10"/>
      <c r="AR36" s="50">
        <f t="shared" si="52"/>
        <v>0</v>
      </c>
      <c r="AS36" s="47">
        <f t="shared" si="55"/>
        <v>0</v>
      </c>
      <c r="AT36" s="50">
        <f t="shared" si="52"/>
        <v>0</v>
      </c>
      <c r="AU36" s="47">
        <f t="shared" si="52"/>
        <v>0</v>
      </c>
      <c r="AV36" s="50">
        <f t="shared" si="52"/>
        <v>0</v>
      </c>
      <c r="AW36" s="47">
        <f t="shared" si="52"/>
        <v>0</v>
      </c>
      <c r="AX36" s="50">
        <f t="shared" si="56"/>
        <v>0</v>
      </c>
    </row>
    <row r="37" spans="18:50" ht="22.5" customHeight="1">
      <c r="R37" s="7" t="s">
        <v>1</v>
      </c>
      <c r="S37" s="36">
        <f>($C$15*B7)+($D$15*B8)+($E$15*C8)+($F$15*B8)</f>
        <v>-0.8</v>
      </c>
      <c r="T37" s="37">
        <f>($C$15*C7)+($D$15*B8)+($E$15*D8)+($F$15*C8)</f>
        <v>0</v>
      </c>
      <c r="U37" s="36">
        <f>($C$15*D7)+($D$15*C8)+($E$15*E8)+($F$15*D9)</f>
        <v>0</v>
      </c>
      <c r="V37" s="37">
        <f>($C$15*E7)+($D$15*D8)+($E$15*F8)+($F$15*E9)</f>
        <v>0</v>
      </c>
      <c r="W37" s="36">
        <f>($C$15*F7)+($D$15*E8)+($E$15*G8)+($F$15*F9)</f>
        <v>0</v>
      </c>
      <c r="X37" s="37">
        <f>($C$15*G7)+($D$15*F8)+($E$15*H8)+($F$15*G9)</f>
        <v>0</v>
      </c>
      <c r="Y37" s="36">
        <f>($C$15*H7)+($D$15*G8)+($E$15*I8)+($F$15*H9)</f>
        <v>0</v>
      </c>
      <c r="Z37" s="37">
        <f>($C$15*I8)+($D$15*H8)+($E$15*J8)+($F$15*I9)</f>
        <v>0</v>
      </c>
      <c r="AA37" s="36">
        <f>($C$15*J7)+($D$15*I8)+($E$15*K8)+($F$15*J9)</f>
        <v>0</v>
      </c>
      <c r="AB37" s="37">
        <f>($C$15*K7)+($D$15*J8)+($E$15*K8)+($F$15*K9)</f>
        <v>0</v>
      </c>
      <c r="AC37" s="43"/>
      <c r="AD37" s="43"/>
      <c r="AE37" s="36">
        <f>($C$15*N7)+($D$15*N8)+($E$15*O8)+($F$15*N9)</f>
        <v>0</v>
      </c>
      <c r="AF37" s="37">
        <f>($C$15*O7)+($D$15*N8)+($E$15*P8)+($F$15*O9)</f>
        <v>0</v>
      </c>
      <c r="AG37" s="36">
        <f>($C$15*P7)+($D$15*O8)+($E$15*P8)+($F$15*P9)</f>
        <v>0</v>
      </c>
      <c r="AI37" s="7" t="s">
        <v>1</v>
      </c>
      <c r="AJ37" s="36">
        <f>S37</f>
        <v>-0.8</v>
      </c>
      <c r="AK37" s="48">
        <f t="shared" si="53"/>
        <v>0</v>
      </c>
      <c r="AL37" s="36">
        <f t="shared" si="48"/>
        <v>0</v>
      </c>
      <c r="AM37" s="48">
        <f t="shared" si="44"/>
        <v>0</v>
      </c>
      <c r="AN37" s="36">
        <f t="shared" si="54"/>
        <v>0</v>
      </c>
      <c r="AO37" s="48">
        <f t="shared" si="54"/>
        <v>0</v>
      </c>
      <c r="AP37" s="36">
        <f t="shared" si="51"/>
        <v>0</v>
      </c>
      <c r="AQ37" s="48">
        <f t="shared" ref="AQ37:AQ48" si="57">Z37</f>
        <v>0</v>
      </c>
      <c r="AR37" s="36">
        <f t="shared" si="52"/>
        <v>0</v>
      </c>
      <c r="AS37" s="48">
        <f t="shared" si="55"/>
        <v>0</v>
      </c>
      <c r="AT37" s="8"/>
      <c r="AU37" s="8"/>
      <c r="AV37" s="36">
        <f t="shared" si="52"/>
        <v>0</v>
      </c>
      <c r="AW37" s="48">
        <f t="shared" ref="AW37:AW44" si="58">AF37</f>
        <v>0</v>
      </c>
      <c r="AX37" s="36">
        <f t="shared" si="56"/>
        <v>0</v>
      </c>
    </row>
    <row r="38" spans="18:50" ht="22.5" customHeight="1">
      <c r="R38" s="7" t="s">
        <v>2</v>
      </c>
      <c r="S38" s="39">
        <f>($C$16*B7)+($D$16*B8)+($E$16*C8)+($F$16*B8)</f>
        <v>-0.1</v>
      </c>
      <c r="T38" s="40">
        <f>($C$16*C7)+($D$16*B8)+($E$16*D8)+($F$16*C8)</f>
        <v>0</v>
      </c>
      <c r="U38" s="39">
        <f>($C$16*D7)+($D$16*C8)+($E$16*E8)+($F$16*D9)</f>
        <v>0</v>
      </c>
      <c r="V38" s="40">
        <f>($C$16*E7)+($D$16*D8)+($E$16*F8)+($F$16*E9)</f>
        <v>0</v>
      </c>
      <c r="W38" s="39">
        <f>($C$16*F7)+($D$16*E8)+($E$16*G8)+($F$16*F9)</f>
        <v>0</v>
      </c>
      <c r="X38" s="40">
        <f>($C$16*G7)+($D$16*F8)+($E$16*H8)+($F$16*G9)</f>
        <v>0</v>
      </c>
      <c r="Y38" s="39">
        <f>($C$16*H7)+($D$16*G8)+($E$16*I8)+($F$16*H9)</f>
        <v>0</v>
      </c>
      <c r="Z38" s="40">
        <f>($C$16*I8)+($D$16*H8)+($E$16*J8)+($F$16*I9)</f>
        <v>0</v>
      </c>
      <c r="AA38" s="39">
        <f>($C$16*J7)+($D$16*I8)+($E$16*K8)+($F$16*J9)</f>
        <v>0</v>
      </c>
      <c r="AB38" s="40">
        <f>($C$16*K7)+($D$16*J8)+($E$16*K8)+($F$16*K9)</f>
        <v>0</v>
      </c>
      <c r="AC38" s="44"/>
      <c r="AD38" s="44"/>
      <c r="AE38" s="39">
        <f>($C$16*N7)+($D$16*N8)+($E$16*O8)+($F$16*N9)</f>
        <v>0</v>
      </c>
      <c r="AF38" s="40">
        <f>($C$16*O7)+($D$16*N8)+($E$16*P8)+($F$16*O9)</f>
        <v>0</v>
      </c>
      <c r="AG38" s="39">
        <f>($C$16*P7)+($D$16*O8)+($E$16*P8)+($F$16*P9)</f>
        <v>0</v>
      </c>
      <c r="AI38" s="7" t="s">
        <v>2</v>
      </c>
      <c r="AJ38" s="39">
        <f>S38</f>
        <v>-0.1</v>
      </c>
      <c r="AK38" s="49">
        <f t="shared" si="53"/>
        <v>0</v>
      </c>
      <c r="AL38" s="39">
        <f t="shared" si="48"/>
        <v>0</v>
      </c>
      <c r="AM38" s="49">
        <f t="shared" si="44"/>
        <v>0</v>
      </c>
      <c r="AN38" s="39">
        <f t="shared" si="54"/>
        <v>0</v>
      </c>
      <c r="AO38" s="49">
        <f t="shared" si="54"/>
        <v>0</v>
      </c>
      <c r="AP38" s="39">
        <f t="shared" si="51"/>
        <v>0</v>
      </c>
      <c r="AQ38" s="49">
        <f t="shared" si="57"/>
        <v>0</v>
      </c>
      <c r="AR38" s="39">
        <f t="shared" si="52"/>
        <v>0</v>
      </c>
      <c r="AS38" s="49">
        <f t="shared" si="55"/>
        <v>0</v>
      </c>
      <c r="AT38" s="9"/>
      <c r="AU38" s="9"/>
      <c r="AV38" s="39">
        <f t="shared" si="52"/>
        <v>0</v>
      </c>
      <c r="AW38" s="49">
        <f t="shared" si="58"/>
        <v>0</v>
      </c>
      <c r="AX38" s="39">
        <f t="shared" si="56"/>
        <v>0</v>
      </c>
    </row>
    <row r="39" spans="18:50" ht="22.5" customHeight="1">
      <c r="R39" s="7" t="s">
        <v>3</v>
      </c>
      <c r="S39" s="39">
        <f>($C$17*B7)+($D$17*B8)+($E$17*C8)+($F$17*B8)</f>
        <v>-0.1</v>
      </c>
      <c r="T39" s="40">
        <f>($C$17*C7)+($D$17*B8)+($E$17*D8)+($F$17*C8)</f>
        <v>0</v>
      </c>
      <c r="U39" s="39">
        <f>($C$17*D7)+($D$17*C8)+($E$17*E8)+($F$17*D9)</f>
        <v>0</v>
      </c>
      <c r="V39" s="40">
        <f>($C$17*E7)+($D$17*D8)+($E$17*F8)+($F$17*E9)</f>
        <v>0</v>
      </c>
      <c r="W39" s="39">
        <f>($C$17*F7)+($D$17*E8)+($E$17*G8)+($F$17*F9)</f>
        <v>0.1</v>
      </c>
      <c r="X39" s="40">
        <f>($C$17*G7)+($D$17*F8)+($E$17*H8)+($F$17*G9)</f>
        <v>0</v>
      </c>
      <c r="Y39" s="39">
        <f>($C$17*H7)+($D$17*G8)+($E$17*I8)+($F$17*H9)</f>
        <v>0</v>
      </c>
      <c r="Z39" s="40">
        <f>($C$17*I8)+($D$17*H8)+($E$17*J8)+($F$17*I9)</f>
        <v>0</v>
      </c>
      <c r="AA39" s="39">
        <f>($C$17*J7)+($D$17*I8)+($E$17*K8)+($F$17*J9)</f>
        <v>0</v>
      </c>
      <c r="AB39" s="40">
        <f>($C$17*K7)+($D$17*J8)+($E$17*K8)+($F$17*K9)</f>
        <v>0</v>
      </c>
      <c r="AC39" s="44"/>
      <c r="AD39" s="44"/>
      <c r="AE39" s="39">
        <f>($C$17*N7)+($D$17*N8)+($E$17*O8)+($F$17*N9)</f>
        <v>0</v>
      </c>
      <c r="AF39" s="40">
        <f>($C$17*O7)+($D$17*N8)+($E$17*P8)+($F$17*O9)</f>
        <v>0</v>
      </c>
      <c r="AG39" s="39">
        <f>($C$17*P7)+($D$17*O8)+($E$17*P8)+($F$17*P9)</f>
        <v>0</v>
      </c>
      <c r="AI39" s="7" t="s">
        <v>3</v>
      </c>
      <c r="AJ39" s="39">
        <f>S39</f>
        <v>-0.1</v>
      </c>
      <c r="AK39" s="49">
        <f t="shared" si="53"/>
        <v>0</v>
      </c>
      <c r="AL39" s="39">
        <f t="shared" si="48"/>
        <v>0</v>
      </c>
      <c r="AM39" s="49">
        <f t="shared" si="44"/>
        <v>0</v>
      </c>
      <c r="AN39" s="39">
        <f t="shared" si="54"/>
        <v>0.1</v>
      </c>
      <c r="AO39" s="49">
        <f t="shared" si="54"/>
        <v>0</v>
      </c>
      <c r="AP39" s="39">
        <f t="shared" si="51"/>
        <v>0</v>
      </c>
      <c r="AQ39" s="49">
        <f t="shared" si="57"/>
        <v>0</v>
      </c>
      <c r="AR39" s="39">
        <f t="shared" si="52"/>
        <v>0</v>
      </c>
      <c r="AS39" s="49">
        <f t="shared" si="55"/>
        <v>0</v>
      </c>
      <c r="AT39" s="9"/>
      <c r="AU39" s="9"/>
      <c r="AV39" s="39">
        <f t="shared" si="52"/>
        <v>0</v>
      </c>
      <c r="AW39" s="49">
        <f t="shared" si="58"/>
        <v>0</v>
      </c>
      <c r="AX39" s="39">
        <f t="shared" si="56"/>
        <v>0</v>
      </c>
    </row>
    <row r="40" spans="18:50" ht="22.5" customHeight="1">
      <c r="R40" s="7" t="s">
        <v>4</v>
      </c>
      <c r="S40" s="39">
        <f>($C$18*B7)+($D$18*B8)+($E$18*C8)+($F$18*B8)</f>
        <v>0</v>
      </c>
      <c r="T40" s="40">
        <f>($C$18*C7)+($D$18*B8)+($E$18*D8)+($F$18*C8)</f>
        <v>0</v>
      </c>
      <c r="U40" s="39">
        <f>($C$18*D7)+($D$18*C8)+($E$18*E8)+($F$18*D9)</f>
        <v>0</v>
      </c>
      <c r="V40" s="40">
        <f>($C$18*E7)+($D$18*D8)+($E$18*F8)+($F$18*E9)</f>
        <v>0</v>
      </c>
      <c r="W40" s="39">
        <f>($C$18*F7)+($D$18*E8)+($E$18*G8)+($F$18*F9)</f>
        <v>0.9</v>
      </c>
      <c r="X40" s="40">
        <f>($C$18*G7)+($D$18*F8)+($E$18*H8)+($F$18*G9)</f>
        <v>0</v>
      </c>
      <c r="Y40" s="39">
        <f>($C$18*H7)+($D$18*G8)+($E$18*I8)+($F$18*H9)</f>
        <v>0</v>
      </c>
      <c r="Z40" s="40">
        <f>($C$18*I8)+($D$18*H8)+($E$18*J8)+($F$18*I9)</f>
        <v>0</v>
      </c>
      <c r="AA40" s="39">
        <f>($C$18*J7)+($D$18*I8)+($E$18*K8)+($F$18*J9)</f>
        <v>0</v>
      </c>
      <c r="AB40" s="40">
        <f>($C$18*K7)+($D$18*J8)+($E$18*K8)+($F$18*K9)</f>
        <v>0</v>
      </c>
      <c r="AC40" s="45"/>
      <c r="AD40" s="45"/>
      <c r="AE40" s="39">
        <f>($C$18*N7)+($D$18*N8)+($E$18*O8)+($F$18*N9)</f>
        <v>0</v>
      </c>
      <c r="AF40" s="40">
        <f>($C$18*O7)+($D$18*N8)+($E$18*P8)+($F$18*O9)</f>
        <v>0</v>
      </c>
      <c r="AG40" s="39">
        <f>($C$18*P7)+($D$18*O8)+($E$18*P8)+($F$18*P9)</f>
        <v>0</v>
      </c>
      <c r="AI40" s="7" t="s">
        <v>4</v>
      </c>
      <c r="AJ40" s="47">
        <f>S40</f>
        <v>0</v>
      </c>
      <c r="AK40" s="50">
        <f t="shared" si="53"/>
        <v>0</v>
      </c>
      <c r="AL40" s="47">
        <f t="shared" si="48"/>
        <v>0</v>
      </c>
      <c r="AM40" s="50">
        <f t="shared" si="44"/>
        <v>0</v>
      </c>
      <c r="AN40" s="47">
        <f t="shared" si="54"/>
        <v>0.9</v>
      </c>
      <c r="AO40" s="50">
        <f t="shared" si="54"/>
        <v>0</v>
      </c>
      <c r="AP40" s="47">
        <f t="shared" si="51"/>
        <v>0</v>
      </c>
      <c r="AQ40" s="50">
        <f t="shared" si="57"/>
        <v>0</v>
      </c>
      <c r="AR40" s="47">
        <f t="shared" si="52"/>
        <v>0</v>
      </c>
      <c r="AS40" s="50">
        <f t="shared" si="55"/>
        <v>0</v>
      </c>
      <c r="AT40" s="10"/>
      <c r="AU40" s="10"/>
      <c r="AV40" s="47">
        <f t="shared" si="52"/>
        <v>0</v>
      </c>
      <c r="AW40" s="50">
        <f t="shared" si="58"/>
        <v>0</v>
      </c>
      <c r="AX40" s="47">
        <f t="shared" si="56"/>
        <v>0</v>
      </c>
    </row>
    <row r="41" spans="18:50" ht="22.5" customHeight="1">
      <c r="R41" s="7" t="s">
        <v>1</v>
      </c>
      <c r="S41" s="43"/>
      <c r="T41" s="43"/>
      <c r="U41" s="37">
        <f>($C$15*D8)+($D$15*D9)+($E$15*E9)+($F$15*D10)</f>
        <v>0</v>
      </c>
      <c r="V41" s="36">
        <f>($C$15*E8)+($D$15*D9)+($E$15*F9)+($F$15*E10)</f>
        <v>0.1</v>
      </c>
      <c r="W41" s="62">
        <v>1</v>
      </c>
      <c r="X41" s="36">
        <f>($C$15*G8)+($D$15*F9)+($E$15*H9)+($F$15*G10)</f>
        <v>0.1</v>
      </c>
      <c r="Y41" s="37">
        <f>($C$15*H8)+($D$15*G9)+($E$15*I9)+($F$15*H10)</f>
        <v>0</v>
      </c>
      <c r="Z41" s="36">
        <f>($C$15*I8)+($D$15*H9)+($E$15*J9)+($F$15*I10)</f>
        <v>0</v>
      </c>
      <c r="AA41" s="37">
        <f>($C$15*J8)+($D$15*I9)+($E$15*K9)+($F$15*J10)</f>
        <v>0</v>
      </c>
      <c r="AB41" s="36">
        <f>($C$15*K8)+($D$15*J9)+($E$15*K9)+($F$15*K10)</f>
        <v>0</v>
      </c>
      <c r="AC41" s="43"/>
      <c r="AD41" s="36">
        <f>($C$15*M9)+($D$15*M9)+($E$15*N9)+($F$15*M10)</f>
        <v>0</v>
      </c>
      <c r="AE41" s="37">
        <f>($C$15*N8)+($D$15*M9)+($E$15*O9)+($F$15*N10)</f>
        <v>0</v>
      </c>
      <c r="AF41" s="36">
        <f>($C$15*O8)+($D$15*N9)+($E$15*P9)+($F$15*O9)</f>
        <v>0</v>
      </c>
      <c r="AG41" s="37">
        <f>($C$15*P8)+($D$15*O9)+($E$15*P9)+($F$15*P10)</f>
        <v>0</v>
      </c>
      <c r="AI41" s="7" t="s">
        <v>1</v>
      </c>
      <c r="AJ41" s="8"/>
      <c r="AK41" s="8"/>
      <c r="AL41" s="48">
        <f t="shared" si="48"/>
        <v>0</v>
      </c>
      <c r="AM41" s="36">
        <f t="shared" si="44"/>
        <v>0.1</v>
      </c>
      <c r="AN41" s="62">
        <v>1</v>
      </c>
      <c r="AO41" s="36">
        <f t="shared" ref="AO41:AO52" si="59">X41</f>
        <v>0.1</v>
      </c>
      <c r="AP41" s="48">
        <f t="shared" si="51"/>
        <v>0</v>
      </c>
      <c r="AQ41" s="36">
        <f t="shared" si="57"/>
        <v>0</v>
      </c>
      <c r="AR41" s="48">
        <f t="shared" ref="AR41:AR48" si="60">AA41</f>
        <v>0</v>
      </c>
      <c r="AS41" s="36">
        <f t="shared" ref="AS41:AU52" si="61">AB41</f>
        <v>0</v>
      </c>
      <c r="AT41" s="8"/>
      <c r="AU41" s="36">
        <f t="shared" si="61"/>
        <v>0</v>
      </c>
      <c r="AV41" s="48">
        <f t="shared" ref="AV41:AV44" si="62">AE41</f>
        <v>0</v>
      </c>
      <c r="AW41" s="36">
        <f t="shared" si="58"/>
        <v>0</v>
      </c>
      <c r="AX41" s="48">
        <f t="shared" ref="AX41:AX48" si="63">AG41</f>
        <v>0</v>
      </c>
    </row>
    <row r="42" spans="18:50" ht="22.5" customHeight="1">
      <c r="R42" s="7" t="s">
        <v>2</v>
      </c>
      <c r="S42" s="44"/>
      <c r="T42" s="44"/>
      <c r="U42" s="40">
        <f>($C$16*D8)+($D$16*D9)+($E$16*E9)+($F$16*D10)</f>
        <v>0</v>
      </c>
      <c r="V42" s="39">
        <f>($C$16*E8)+($D$16*D9)+($E$16*F9)+($F$16*E10)</f>
        <v>0</v>
      </c>
      <c r="W42" s="63"/>
      <c r="X42" s="39">
        <f>($C$16*G8)+($D$16*F9)+($E$16*H9)+($F$16*G10)</f>
        <v>0.9</v>
      </c>
      <c r="Y42" s="40">
        <f>($C$16*H8)+($D$16*G9)+($E$16*I9)+($F$16*H10)</f>
        <v>0</v>
      </c>
      <c r="Z42" s="39">
        <f>($C$16*I8)+($D$16*H9)+($E$16*J9)+($F$16*I10)</f>
        <v>0</v>
      </c>
      <c r="AA42" s="40">
        <f>($C$16*J8)+($D$16*I9)+($E$16*K9)+($F$16*J10)</f>
        <v>0</v>
      </c>
      <c r="AB42" s="39">
        <f>($C$16*K8)+($D$16*J9)+($E$16*K9)+($F$16*K10)</f>
        <v>0</v>
      </c>
      <c r="AC42" s="44"/>
      <c r="AD42" s="39">
        <f>($C$16*M9)+($D$16*M9)+($E$16*N9)+($F$16*M10)</f>
        <v>0</v>
      </c>
      <c r="AE42" s="40">
        <f>($C$16*N8)+($D$16*M9)+($E$16*O9)+($F$16*N10)</f>
        <v>0</v>
      </c>
      <c r="AF42" s="39">
        <f>($C$16*O8)+($D$16*N9)+($E$16*P9)+($F$16*O9)</f>
        <v>0</v>
      </c>
      <c r="AG42" s="40">
        <f>($C$16*P8)+($D$16*O9)+($E$16*P9)+($F$16*P10)</f>
        <v>0</v>
      </c>
      <c r="AI42" s="7" t="s">
        <v>2</v>
      </c>
      <c r="AJ42" s="9"/>
      <c r="AK42" s="9"/>
      <c r="AL42" s="49">
        <f t="shared" si="48"/>
        <v>0</v>
      </c>
      <c r="AM42" s="39">
        <f t="shared" si="44"/>
        <v>0</v>
      </c>
      <c r="AN42" s="63"/>
      <c r="AO42" s="39">
        <f t="shared" si="59"/>
        <v>0.9</v>
      </c>
      <c r="AP42" s="49">
        <f t="shared" si="51"/>
        <v>0</v>
      </c>
      <c r="AQ42" s="39">
        <f t="shared" si="57"/>
        <v>0</v>
      </c>
      <c r="AR42" s="49">
        <f t="shared" si="60"/>
        <v>0</v>
      </c>
      <c r="AS42" s="39">
        <f t="shared" si="61"/>
        <v>0</v>
      </c>
      <c r="AT42" s="9"/>
      <c r="AU42" s="39">
        <f t="shared" si="61"/>
        <v>0</v>
      </c>
      <c r="AV42" s="49">
        <f t="shared" si="62"/>
        <v>0</v>
      </c>
      <c r="AW42" s="39">
        <f t="shared" si="58"/>
        <v>0</v>
      </c>
      <c r="AX42" s="49">
        <f t="shared" si="63"/>
        <v>0</v>
      </c>
    </row>
    <row r="43" spans="18:50" ht="22.5" customHeight="1">
      <c r="R43" s="7" t="s">
        <v>3</v>
      </c>
      <c r="S43" s="44"/>
      <c r="T43" s="44"/>
      <c r="U43" s="40">
        <f>($C$17*D8)+($D$17*D9)+($E$17*E9)+($F$17*D10)</f>
        <v>0</v>
      </c>
      <c r="V43" s="39">
        <f>($C$17*E8)+($D$17*D9)+($E$17*F9)+($F$17*E10)</f>
        <v>0.8</v>
      </c>
      <c r="W43" s="63"/>
      <c r="X43" s="39">
        <f>($C$17*G8)+($D$17*F9)+($E$17*H9)+($F$17*G10)</f>
        <v>0</v>
      </c>
      <c r="Y43" s="40">
        <f>($C$17*H8)+($D$17*G9)+($E$17*I9)+($F$17*H10)</f>
        <v>0</v>
      </c>
      <c r="Z43" s="39">
        <f>($C$17*I8)+($D$17*H9)+($E$17*J9)+($F$17*I10)</f>
        <v>0</v>
      </c>
      <c r="AA43" s="40">
        <f>($C$17*J8)+($D$17*I9)+($E$17*K9)+($F$17*J10)</f>
        <v>0</v>
      </c>
      <c r="AB43" s="39">
        <f>($C$17*K8)+($D$17*J9)+($E$17*K9)+($F$17*K10)</f>
        <v>0</v>
      </c>
      <c r="AC43" s="44"/>
      <c r="AD43" s="39">
        <f>($C$17*M9)+($D$17*M9)+($E$17*N9)+($F$17*M10)</f>
        <v>0</v>
      </c>
      <c r="AE43" s="40">
        <f>($C$17*N8)+($D$17*M9)+($E$17*O9)+($F$17*N10)</f>
        <v>-0.1</v>
      </c>
      <c r="AF43" s="39">
        <f>($C$17*O8)+($D$17*N9)+($E$17*P9)+($F$17*O9)</f>
        <v>0</v>
      </c>
      <c r="AG43" s="40">
        <f>($C$17*P8)+($D$17*O9)+($E$17*P9)+($F$17*P10)</f>
        <v>0</v>
      </c>
      <c r="AI43" s="7" t="s">
        <v>3</v>
      </c>
      <c r="AJ43" s="9"/>
      <c r="AK43" s="9"/>
      <c r="AL43" s="49">
        <f t="shared" si="48"/>
        <v>0</v>
      </c>
      <c r="AM43" s="39">
        <f t="shared" si="44"/>
        <v>0.8</v>
      </c>
      <c r="AN43" s="63"/>
      <c r="AO43" s="39">
        <f t="shared" si="59"/>
        <v>0</v>
      </c>
      <c r="AP43" s="49">
        <f t="shared" si="51"/>
        <v>0</v>
      </c>
      <c r="AQ43" s="39">
        <f t="shared" si="57"/>
        <v>0</v>
      </c>
      <c r="AR43" s="49">
        <f t="shared" si="60"/>
        <v>0</v>
      </c>
      <c r="AS43" s="39">
        <f t="shared" si="61"/>
        <v>0</v>
      </c>
      <c r="AT43" s="9"/>
      <c r="AU43" s="39">
        <f t="shared" si="61"/>
        <v>0</v>
      </c>
      <c r="AV43" s="49">
        <f t="shared" si="62"/>
        <v>-0.1</v>
      </c>
      <c r="AW43" s="39">
        <f t="shared" si="58"/>
        <v>0</v>
      </c>
      <c r="AX43" s="49">
        <f t="shared" si="63"/>
        <v>0</v>
      </c>
    </row>
    <row r="44" spans="18:50" ht="22.5" customHeight="1">
      <c r="R44" s="7" t="s">
        <v>4</v>
      </c>
      <c r="S44" s="45"/>
      <c r="T44" s="45"/>
      <c r="U44" s="40">
        <f>($C$18*D8)+($D$18*D9)+($E$18*E9)+($F$18*D10)</f>
        <v>0</v>
      </c>
      <c r="V44" s="39">
        <f>($C$18*E8)+($D$18*D9)+($E$18*F9)+($F$18*E10)</f>
        <v>0.1</v>
      </c>
      <c r="W44" s="64"/>
      <c r="X44" s="39">
        <f>($C$18*G8)+($D$18*F9)+($E$18*H9)+($F$18*G10)</f>
        <v>0</v>
      </c>
      <c r="Y44" s="40">
        <f>($C$18*H8)+($D$18*G9)+($E$18*I9)+($F$18*H10)</f>
        <v>0</v>
      </c>
      <c r="Z44" s="39">
        <f>($C$18*I8)+($D$18*H9)+($E$18*J9)+($F$18*I10)</f>
        <v>0</v>
      </c>
      <c r="AA44" s="40">
        <f>($C$18*J8)+($D$18*I9)+($E$18*K9)+($F$18*J10)</f>
        <v>0</v>
      </c>
      <c r="AB44" s="39">
        <f>($C$18*K8)+($D$18*J9)+($E$18*K9)+($F$18*K10)</f>
        <v>0</v>
      </c>
      <c r="AC44" s="45"/>
      <c r="AD44" s="39">
        <f>($C$18*M9)+($D$18*M9)+($E$18*N9)+($F$18*M10)</f>
        <v>0</v>
      </c>
      <c r="AE44" s="40">
        <f>($C$18*N8)+($D$18*M9)+($E$18*O9)+($F$18*N10)</f>
        <v>-0.9</v>
      </c>
      <c r="AF44" s="39">
        <f>($C$18*O8)+($D$18*N9)+($E$18*P9)+($F$18*O9)</f>
        <v>0</v>
      </c>
      <c r="AG44" s="40">
        <f>($C$18*P8)+($D$18*O9)+($E$18*P9)+($F$18*P10)</f>
        <v>0</v>
      </c>
      <c r="AI44" s="7" t="s">
        <v>4</v>
      </c>
      <c r="AJ44" s="10"/>
      <c r="AK44" s="10"/>
      <c r="AL44" s="50">
        <f t="shared" si="48"/>
        <v>0</v>
      </c>
      <c r="AM44" s="47">
        <f t="shared" si="44"/>
        <v>0.1</v>
      </c>
      <c r="AN44" s="64"/>
      <c r="AO44" s="47">
        <f t="shared" si="59"/>
        <v>0</v>
      </c>
      <c r="AP44" s="50">
        <f t="shared" si="51"/>
        <v>0</v>
      </c>
      <c r="AQ44" s="47">
        <f t="shared" si="57"/>
        <v>0</v>
      </c>
      <c r="AR44" s="50">
        <f t="shared" si="60"/>
        <v>0</v>
      </c>
      <c r="AS44" s="47">
        <f t="shared" si="61"/>
        <v>0</v>
      </c>
      <c r="AT44" s="10"/>
      <c r="AU44" s="47">
        <f t="shared" si="61"/>
        <v>0</v>
      </c>
      <c r="AV44" s="50">
        <f t="shared" si="62"/>
        <v>-0.9</v>
      </c>
      <c r="AW44" s="47">
        <f t="shared" si="58"/>
        <v>0</v>
      </c>
      <c r="AX44" s="50">
        <f t="shared" si="63"/>
        <v>0</v>
      </c>
    </row>
    <row r="45" spans="18:50" ht="22.5" customHeight="1">
      <c r="R45" s="7" t="s">
        <v>1</v>
      </c>
      <c r="S45" s="36">
        <f>($C$15*B10)+($D$15*B10)+($E$15*C10)+($F$15*B11)</f>
        <v>0</v>
      </c>
      <c r="T45" s="37">
        <f>($C$15*C10)+($D$15*C10)+($E$15*D10)+($F$15*C11)</f>
        <v>0</v>
      </c>
      <c r="U45" s="36">
        <f>($C$15*D9)+($D$15*C10)+($E$15*E10)+($F$15*D11)</f>
        <v>0</v>
      </c>
      <c r="V45" s="37">
        <f>($C$15*E9)+($D$15*D10)+($E$15*E10)+($F$15*E11)</f>
        <v>0</v>
      </c>
      <c r="W45" s="43"/>
      <c r="X45" s="37">
        <f>($C$15*G9)+($D$15*G10)+($E$15*H10)+($F$15*G11)</f>
        <v>0</v>
      </c>
      <c r="Y45" s="36">
        <f>($C$15*H9)+($D$15*G10)+($E$15*I10)+($F$15*H11)</f>
        <v>0</v>
      </c>
      <c r="Z45" s="37">
        <f>($C$15*I9)+($D$15*H10)+($E$15*J10)+($F$15*I11)</f>
        <v>0</v>
      </c>
      <c r="AA45" s="36">
        <f>($C$15*J9)+($D$15*I10)+($E$15*K10)+($F$15*J11)</f>
        <v>0</v>
      </c>
      <c r="AB45" s="37">
        <f>($C$15*K9)+($D$15*J10)+($E$15*L10)+($F$15*K11)</f>
        <v>0</v>
      </c>
      <c r="AC45" s="36">
        <f>($C$15*L10)+($D$15*K10)+($E$15*M10)+($F$15*L11)</f>
        <v>0</v>
      </c>
      <c r="AD45" s="37">
        <f>($C$15*M9)+($D$15*L10)+($E$15*N10)+($F$15*M11)</f>
        <v>-0.1</v>
      </c>
      <c r="AE45" s="65">
        <v>-1</v>
      </c>
      <c r="AF45" s="43"/>
      <c r="AG45" s="36">
        <f>($C$15*P9)+($D$15*P10)+($E$15*P10)+($F$15*P11)</f>
        <v>0</v>
      </c>
      <c r="AI45" s="7" t="s">
        <v>1</v>
      </c>
      <c r="AJ45" s="36">
        <f t="shared" ref="AJ45:AK52" si="64">S45</f>
        <v>0</v>
      </c>
      <c r="AK45" s="48">
        <f t="shared" si="64"/>
        <v>0</v>
      </c>
      <c r="AL45" s="36">
        <f t="shared" si="48"/>
        <v>0</v>
      </c>
      <c r="AM45" s="48">
        <f t="shared" si="44"/>
        <v>0</v>
      </c>
      <c r="AN45" s="8"/>
      <c r="AO45" s="48">
        <f t="shared" si="59"/>
        <v>0</v>
      </c>
      <c r="AP45" s="36">
        <f t="shared" si="51"/>
        <v>0</v>
      </c>
      <c r="AQ45" s="48">
        <f t="shared" si="57"/>
        <v>0</v>
      </c>
      <c r="AR45" s="36">
        <f t="shared" si="60"/>
        <v>0</v>
      </c>
      <c r="AS45" s="48">
        <f t="shared" ref="AS45:AS48" si="65">AB45</f>
        <v>0</v>
      </c>
      <c r="AT45" s="36">
        <f t="shared" ref="AT45:AT48" si="66">AC45</f>
        <v>0</v>
      </c>
      <c r="AU45" s="48">
        <f t="shared" si="61"/>
        <v>-0.1</v>
      </c>
      <c r="AV45" s="65">
        <v>-1</v>
      </c>
      <c r="AW45" s="8"/>
      <c r="AX45" s="36">
        <f t="shared" si="63"/>
        <v>0</v>
      </c>
    </row>
    <row r="46" spans="18:50" ht="22.5" customHeight="1">
      <c r="R46" s="7" t="s">
        <v>2</v>
      </c>
      <c r="S46" s="39">
        <f>($C$16*B10)+($D$16*B10)+($E$16*C10)+($F$16*B11)</f>
        <v>0</v>
      </c>
      <c r="T46" s="40">
        <f>($C$16*C10)+($D$16*C10)+($E$16*D10)+($F$16*C11)</f>
        <v>0</v>
      </c>
      <c r="U46" s="39">
        <f>($C$16*D9)+($D$16*C10)+($E$16*E10)+($F$16*D11)</f>
        <v>0</v>
      </c>
      <c r="V46" s="40">
        <f>($C$16*E9)+($D$16*D10)+($E$16*E10)+($F$16*E11)</f>
        <v>0</v>
      </c>
      <c r="W46" s="44"/>
      <c r="X46" s="40">
        <f>($C$16*G9)+($D$16*G10)+($E$16*H10)+($F$16*G11)</f>
        <v>0</v>
      </c>
      <c r="Y46" s="39">
        <f>($C$16*H9)+($D$16*G10)+($E$16*I10)+($F$16*H11)</f>
        <v>0</v>
      </c>
      <c r="Z46" s="40">
        <f>($C$16*I9)+($D$16*H10)+($E$16*J10)+($F$16*I11)</f>
        <v>0</v>
      </c>
      <c r="AA46" s="39">
        <f>($C$16*J9)+($D$16*I10)+($E$16*K10)+($F$16*J11)</f>
        <v>0</v>
      </c>
      <c r="AB46" s="40">
        <f>($C$16*K9)+($D$16*J10)+($E$16*L10)+($F$16*K11)</f>
        <v>0</v>
      </c>
      <c r="AC46" s="39">
        <f>($C$16*L10)+($D$16*K10)+($E$16*M10)+($F$16*L11)</f>
        <v>0</v>
      </c>
      <c r="AD46" s="40">
        <f>($C$16*M9)+($D$16*L10)+($E$16*N10)+($F$16*M11)</f>
        <v>0</v>
      </c>
      <c r="AE46" s="66"/>
      <c r="AF46" s="44"/>
      <c r="AG46" s="39">
        <f>($C$16*P9)+($D$16*P10)+($E$16*P10)+($F$16*P11)</f>
        <v>0</v>
      </c>
      <c r="AI46" s="7" t="s">
        <v>2</v>
      </c>
      <c r="AJ46" s="39">
        <f t="shared" si="64"/>
        <v>0</v>
      </c>
      <c r="AK46" s="49">
        <f t="shared" si="64"/>
        <v>0</v>
      </c>
      <c r="AL46" s="39">
        <f t="shared" si="48"/>
        <v>0</v>
      </c>
      <c r="AM46" s="49">
        <f t="shared" si="44"/>
        <v>0</v>
      </c>
      <c r="AN46" s="9"/>
      <c r="AO46" s="49">
        <f t="shared" si="59"/>
        <v>0</v>
      </c>
      <c r="AP46" s="39">
        <f t="shared" si="51"/>
        <v>0</v>
      </c>
      <c r="AQ46" s="49">
        <f t="shared" si="57"/>
        <v>0</v>
      </c>
      <c r="AR46" s="39">
        <f t="shared" si="60"/>
        <v>0</v>
      </c>
      <c r="AS46" s="49">
        <f t="shared" si="65"/>
        <v>0</v>
      </c>
      <c r="AT46" s="39">
        <f t="shared" si="66"/>
        <v>0</v>
      </c>
      <c r="AU46" s="49">
        <f t="shared" si="61"/>
        <v>0</v>
      </c>
      <c r="AV46" s="66"/>
      <c r="AW46" s="9"/>
      <c r="AX46" s="39">
        <f t="shared" si="63"/>
        <v>0</v>
      </c>
    </row>
    <row r="47" spans="18:50" ht="22.5" customHeight="1">
      <c r="R47" s="7" t="s">
        <v>3</v>
      </c>
      <c r="S47" s="39">
        <f>($C$17*B10)+($D$17*B10)+($E$17*C10)+($F$17*B11)</f>
        <v>0</v>
      </c>
      <c r="T47" s="40">
        <f>($C$17*C10)+($D$17*C10)+($E$17*D10)+($F$17*C11)</f>
        <v>0</v>
      </c>
      <c r="U47" s="39">
        <f>($C$17*D9)+($D$17*C10)+($E$17*E10)+($F$17*D11)</f>
        <v>0</v>
      </c>
      <c r="V47" s="40">
        <f>($C$17*E9)+($D$17*D10)+($E$17*E10)+($F$17*E11)</f>
        <v>0</v>
      </c>
      <c r="W47" s="44"/>
      <c r="X47" s="40">
        <f>($C$17*G9)+($D$17*G10)+($E$17*H10)+($F$17*G11)</f>
        <v>0</v>
      </c>
      <c r="Y47" s="39">
        <f>($C$17*H9)+($D$17*G10)+($E$17*I10)+($F$17*H11)</f>
        <v>-0.1</v>
      </c>
      <c r="Z47" s="40">
        <f>($C$17*I9)+($D$17*H10)+($E$17*J10)+($F$17*I11)</f>
        <v>0</v>
      </c>
      <c r="AA47" s="39">
        <f>($C$17*J9)+($D$17*I10)+($E$17*K10)+($F$17*J11)</f>
        <v>0</v>
      </c>
      <c r="AB47" s="40">
        <f>($C$17*K9)+($D$17*J10)+($E$17*L10)+($F$17*K11)</f>
        <v>0.1</v>
      </c>
      <c r="AC47" s="39">
        <f>($C$17*L10)+($D$17*K10)+($E$17*M10)+($F$17*L11)</f>
        <v>0</v>
      </c>
      <c r="AD47" s="40">
        <f>($C$17*M9)+($D$17*L10)+($E$17*N10)+($F$17*M11)</f>
        <v>-0.8</v>
      </c>
      <c r="AE47" s="66"/>
      <c r="AF47" s="44"/>
      <c r="AG47" s="39">
        <f>($C$17*P9)+($D$17*P10)+($E$17*P10)+($F$17*P11)</f>
        <v>0</v>
      </c>
      <c r="AI47" s="7" t="s">
        <v>3</v>
      </c>
      <c r="AJ47" s="39">
        <f t="shared" si="64"/>
        <v>0</v>
      </c>
      <c r="AK47" s="49">
        <f t="shared" si="64"/>
        <v>0</v>
      </c>
      <c r="AL47" s="39">
        <f t="shared" si="48"/>
        <v>0</v>
      </c>
      <c r="AM47" s="49">
        <f t="shared" si="44"/>
        <v>0</v>
      </c>
      <c r="AN47" s="9"/>
      <c r="AO47" s="49">
        <f t="shared" si="59"/>
        <v>0</v>
      </c>
      <c r="AP47" s="39">
        <f t="shared" si="51"/>
        <v>-0.1</v>
      </c>
      <c r="AQ47" s="49">
        <f t="shared" si="57"/>
        <v>0</v>
      </c>
      <c r="AR47" s="39">
        <f t="shared" si="60"/>
        <v>0</v>
      </c>
      <c r="AS47" s="49">
        <f t="shared" si="65"/>
        <v>0.1</v>
      </c>
      <c r="AT47" s="39">
        <f t="shared" si="66"/>
        <v>0</v>
      </c>
      <c r="AU47" s="49">
        <f t="shared" si="61"/>
        <v>-0.8</v>
      </c>
      <c r="AV47" s="66"/>
      <c r="AW47" s="9"/>
      <c r="AX47" s="39">
        <f t="shared" si="63"/>
        <v>0</v>
      </c>
    </row>
    <row r="48" spans="18:50" ht="22.5" customHeight="1">
      <c r="R48" s="7" t="s">
        <v>4</v>
      </c>
      <c r="S48" s="39">
        <f>($C$18*B10)+($D$18*B10)+($E$18*C10)+($F$18*B11)</f>
        <v>0</v>
      </c>
      <c r="T48" s="40">
        <f>($C$18*C10)+($D$18*C10)+($E$18*D10)+($F$18*C11)</f>
        <v>0</v>
      </c>
      <c r="U48" s="39">
        <f>($C$18*D9)+($D$18*C10)+($E$18*E10)+($F$18*D11)</f>
        <v>0</v>
      </c>
      <c r="V48" s="40">
        <f>($C$18*E9)+($D$18*D10)+($E$18*E10)+($F$18*E11)</f>
        <v>0</v>
      </c>
      <c r="W48" s="45"/>
      <c r="X48" s="40">
        <f>($C$18*G9)+($D$18*G10)+($E$18*H10)+($F$18*G11)</f>
        <v>0</v>
      </c>
      <c r="Y48" s="39">
        <f>($C$18*H9)+($D$18*G10)+($E$18*I10)+($F$18*H11)</f>
        <v>-0.9</v>
      </c>
      <c r="Z48" s="40">
        <f>($C$18*I9)+($D$18*H10)+($E$18*J10)+($F$18*I11)</f>
        <v>0</v>
      </c>
      <c r="AA48" s="39">
        <f>($C$18*J9)+($D$18*I10)+($E$18*K10)+($F$18*J11)</f>
        <v>0</v>
      </c>
      <c r="AB48" s="40">
        <f>($C$18*K9)+($D$18*J10)+($E$18*L10)+($F$18*K11)</f>
        <v>0.9</v>
      </c>
      <c r="AC48" s="39">
        <f>($C$18*L10)+($D$18*K10)+($E$18*M10)+($F$18*L11)</f>
        <v>0</v>
      </c>
      <c r="AD48" s="40">
        <f>($C$18*M9)+($D$18*L10)+($E$18*N10)+($F$18*M11)</f>
        <v>-0.1</v>
      </c>
      <c r="AE48" s="67"/>
      <c r="AF48" s="45"/>
      <c r="AG48" s="39">
        <f>($C$18*P9)+($D$18*P10)+($E$18*P10)+($F$18*P11)</f>
        <v>0</v>
      </c>
      <c r="AI48" s="7" t="s">
        <v>4</v>
      </c>
      <c r="AJ48" s="47">
        <f t="shared" si="64"/>
        <v>0</v>
      </c>
      <c r="AK48" s="50">
        <f t="shared" si="64"/>
        <v>0</v>
      </c>
      <c r="AL48" s="47">
        <f t="shared" si="48"/>
        <v>0</v>
      </c>
      <c r="AM48" s="50">
        <f t="shared" si="44"/>
        <v>0</v>
      </c>
      <c r="AN48" s="10"/>
      <c r="AO48" s="50">
        <f t="shared" si="59"/>
        <v>0</v>
      </c>
      <c r="AP48" s="47">
        <f t="shared" si="51"/>
        <v>-0.9</v>
      </c>
      <c r="AQ48" s="50">
        <f t="shared" si="57"/>
        <v>0</v>
      </c>
      <c r="AR48" s="47">
        <f t="shared" si="60"/>
        <v>0</v>
      </c>
      <c r="AS48" s="50">
        <f t="shared" si="65"/>
        <v>0.9</v>
      </c>
      <c r="AT48" s="47">
        <f t="shared" si="66"/>
        <v>0</v>
      </c>
      <c r="AU48" s="50">
        <f t="shared" si="61"/>
        <v>-0.1</v>
      </c>
      <c r="AV48" s="67"/>
      <c r="AW48" s="10"/>
      <c r="AX48" s="47">
        <f t="shared" si="63"/>
        <v>0</v>
      </c>
    </row>
    <row r="49" spans="18:50" ht="22.5" customHeight="1">
      <c r="R49" s="7" t="s">
        <v>1</v>
      </c>
      <c r="S49" s="37">
        <f>($C$15*B10)+($D$15*B11)+($E$15*C11)+($F$15*B11)</f>
        <v>0</v>
      </c>
      <c r="T49" s="36">
        <f>($C$15*C10)+($D$15*B11)+($E$15*D11)+($F$15*C11)</f>
        <v>0</v>
      </c>
      <c r="U49" s="37">
        <f>($C$15*D10)+($D$15*C11)+($E$15*E11)+($F$15*D11)</f>
        <v>0</v>
      </c>
      <c r="V49" s="36">
        <f>($C$15*E10)+($D$15*D11)+($E$15*F11)+($F$15*E11)</f>
        <v>0</v>
      </c>
      <c r="W49" s="37">
        <f>($C$15*F11)+($D$15*E11)+($E$15*G11)+($F$15*F11)</f>
        <v>0</v>
      </c>
      <c r="X49" s="36">
        <f>($C$15*G10)+($D$15*F11)+($E$15*H11)+($F$15*G11)</f>
        <v>-0.1</v>
      </c>
      <c r="Y49" s="65">
        <v>-1</v>
      </c>
      <c r="Z49" s="36">
        <f>($C$15*I10)+($D$15*H11)+($E$15*J11)+($F$15*I11)</f>
        <v>-0.1</v>
      </c>
      <c r="AA49" s="37">
        <f>($C$15*J10)+($D$15*I11)+($E$15*K11)+($F$15*J11)</f>
        <v>0.1</v>
      </c>
      <c r="AB49" s="62">
        <v>1</v>
      </c>
      <c r="AC49" s="37">
        <f>($C$15*L10)+($D$15*K11)+($E$15*M11)+($F$15*L11)</f>
        <v>0.1</v>
      </c>
      <c r="AD49" s="36">
        <f>($C$15*M10)+($D$15*L11)+($E$15*N11)+($F$15*M11)</f>
        <v>0</v>
      </c>
      <c r="AE49" s="37">
        <f>($C$15*N10)+($D$15*M11)+($E$15*O11)+($F$15*N11)</f>
        <v>-0.8</v>
      </c>
      <c r="AF49" s="36">
        <f>($C$15*O11)+($D$15*N11)+($E$15*P11)+($F$15*O11)</f>
        <v>0</v>
      </c>
      <c r="AG49" s="37">
        <f>($C$15*P10)+($D$15*O11)+($E$15*P11)+($F$15*P11)</f>
        <v>0</v>
      </c>
      <c r="AI49" s="7" t="s">
        <v>1</v>
      </c>
      <c r="AJ49" s="48">
        <f t="shared" si="64"/>
        <v>0</v>
      </c>
      <c r="AK49" s="36">
        <f t="shared" si="64"/>
        <v>0</v>
      </c>
      <c r="AL49" s="48">
        <f t="shared" si="48"/>
        <v>0</v>
      </c>
      <c r="AM49" s="36">
        <f t="shared" si="44"/>
        <v>0</v>
      </c>
      <c r="AN49" s="48">
        <f>W49</f>
        <v>0</v>
      </c>
      <c r="AO49" s="36">
        <f t="shared" si="59"/>
        <v>-0.1</v>
      </c>
      <c r="AP49" s="65">
        <v>-1</v>
      </c>
      <c r="AQ49" s="36">
        <f t="shared" ref="AQ49:AQ52" si="67">Z49</f>
        <v>-0.1</v>
      </c>
      <c r="AR49" s="48">
        <f t="shared" ref="AR49:AR52" si="68">AA49</f>
        <v>0.1</v>
      </c>
      <c r="AS49" s="62">
        <v>1</v>
      </c>
      <c r="AT49" s="36">
        <f t="shared" si="61"/>
        <v>0.1</v>
      </c>
      <c r="AU49" s="36">
        <f t="shared" si="61"/>
        <v>0</v>
      </c>
      <c r="AV49" s="48">
        <f t="shared" ref="AV49:AV52" si="69">AE49</f>
        <v>-0.8</v>
      </c>
      <c r="AW49" s="36">
        <f t="shared" ref="AW49:AW52" si="70">AF49</f>
        <v>0</v>
      </c>
      <c r="AX49" s="48">
        <f t="shared" ref="AX49:AX52" si="71">AG49</f>
        <v>0</v>
      </c>
    </row>
    <row r="50" spans="18:50" ht="22.5" customHeight="1">
      <c r="R50" s="7" t="s">
        <v>2</v>
      </c>
      <c r="S50" s="40">
        <f>($C$16*B10)+($D$16*B11)+($E$16*C11)+($F$16*B11)</f>
        <v>0</v>
      </c>
      <c r="T50" s="39">
        <f>($C$16*C10)+($D$16*B11)+($E$16*D11)+($F$16*C11)</f>
        <v>0</v>
      </c>
      <c r="U50" s="40">
        <f>($C$16*D10)+($D$16*C11)+($E$16*E11)+($F$16*D11)</f>
        <v>0</v>
      </c>
      <c r="V50" s="39">
        <f>($C$16*E10)+($D$16*D11)+($E$16*F11)+($F$16*E11)</f>
        <v>0</v>
      </c>
      <c r="W50" s="40">
        <f>($C$16*F11)+($D$16*E11)+($E$16*G11)+($F$16*F11)</f>
        <v>0</v>
      </c>
      <c r="X50" s="39">
        <f>($C$16*G10)+($D$16*F11)+($E$16*H11)+($F$16*G11)</f>
        <v>0</v>
      </c>
      <c r="Y50" s="66"/>
      <c r="Z50" s="39">
        <f>($C$16*I10)+($D$16*H11)+($E$16*J11)+($F$16*I11)</f>
        <v>-0.9</v>
      </c>
      <c r="AA50" s="40">
        <f>($C$16*J10)+($D$16*I11)+($E$16*K11)+($F$16*J11)</f>
        <v>0</v>
      </c>
      <c r="AB50" s="63"/>
      <c r="AC50" s="40">
        <f>($C$16*L10)+($D$16*K11)+($E$16*M11)+($F$16*L11)</f>
        <v>0.9</v>
      </c>
      <c r="AD50" s="39">
        <f>($C$16*M10)+($D$16*L11)+($E$16*N11)+($F$16*M11)</f>
        <v>0</v>
      </c>
      <c r="AE50" s="40">
        <f>($C$16*N10)+($D$16*M11)+($E$16*O11)+($F$16*N11)</f>
        <v>-0.1</v>
      </c>
      <c r="AF50" s="39">
        <f>($C$16*O11)+($D$16*N11)+($E$16*P11)+($F$16*O11)</f>
        <v>0</v>
      </c>
      <c r="AG50" s="40">
        <f>($C$16*P10)+($D$16*O11)+($E$16*P11)+($F$16*P11)</f>
        <v>0</v>
      </c>
      <c r="AI50" s="7" t="s">
        <v>2</v>
      </c>
      <c r="AJ50" s="49">
        <f t="shared" si="64"/>
        <v>0</v>
      </c>
      <c r="AK50" s="39">
        <f t="shared" si="64"/>
        <v>0</v>
      </c>
      <c r="AL50" s="49">
        <f t="shared" si="48"/>
        <v>0</v>
      </c>
      <c r="AM50" s="39">
        <f t="shared" si="44"/>
        <v>0</v>
      </c>
      <c r="AN50" s="49">
        <f>W50</f>
        <v>0</v>
      </c>
      <c r="AO50" s="39">
        <f t="shared" si="59"/>
        <v>0</v>
      </c>
      <c r="AP50" s="66"/>
      <c r="AQ50" s="39">
        <f t="shared" si="67"/>
        <v>-0.9</v>
      </c>
      <c r="AR50" s="49">
        <f t="shared" si="68"/>
        <v>0</v>
      </c>
      <c r="AS50" s="63"/>
      <c r="AT50" s="39">
        <f t="shared" si="61"/>
        <v>0.9</v>
      </c>
      <c r="AU50" s="39">
        <f t="shared" si="61"/>
        <v>0</v>
      </c>
      <c r="AV50" s="49">
        <f t="shared" si="69"/>
        <v>-0.1</v>
      </c>
      <c r="AW50" s="39">
        <f t="shared" si="70"/>
        <v>0</v>
      </c>
      <c r="AX50" s="49">
        <f t="shared" si="71"/>
        <v>0</v>
      </c>
    </row>
    <row r="51" spans="18:50" ht="22.5" customHeight="1">
      <c r="R51" s="7" t="s">
        <v>3</v>
      </c>
      <c r="S51" s="40">
        <f>($C$17*B10)+($D$17*B11)+($E$17*C11)+($F$17*B11)</f>
        <v>0</v>
      </c>
      <c r="T51" s="39">
        <f>($C$17*C10)+($D$17*B11)+($E$17*D11)+($F$17*C11)</f>
        <v>0</v>
      </c>
      <c r="U51" s="40">
        <f>($C$17*D10)+($D$17*C11)+($E$17*E11)+($F$17*D11)</f>
        <v>0</v>
      </c>
      <c r="V51" s="39">
        <f>($C$17*E10)+($D$17*D11)+($E$17*F11)+($F$17*E11)</f>
        <v>0</v>
      </c>
      <c r="W51" s="40">
        <f>($C$17*F11)+($D$17*E11)+($E$17*G11)+($F$17*F11)</f>
        <v>0</v>
      </c>
      <c r="X51" s="39">
        <f>($C$17*G10)+($D$17*F11)+($E$17*H11)+($F$17*G11)</f>
        <v>-0.8</v>
      </c>
      <c r="Y51" s="66"/>
      <c r="Z51" s="39">
        <f>($C$17*I10)+($D$17*H11)+($E$17*J11)+($F$17*I11)</f>
        <v>0</v>
      </c>
      <c r="AA51" s="40">
        <f>($C$17*J10)+($D$17*I11)+($E$17*K11)+($F$17*J11)</f>
        <v>0.8</v>
      </c>
      <c r="AB51" s="63"/>
      <c r="AC51" s="40">
        <f>($C$17*L10)+($D$17*K11)+($E$17*M11)+($F$17*L11)</f>
        <v>0</v>
      </c>
      <c r="AD51" s="39">
        <f>($C$17*M10)+($D$17*L11)+($E$17*N11)+($F$17*M11)</f>
        <v>0</v>
      </c>
      <c r="AE51" s="40">
        <f>($C$17*N10)+($D$17*M11)+($E$17*O11)+($F$17*N11)</f>
        <v>-0.1</v>
      </c>
      <c r="AF51" s="39">
        <f>($C$17*O11)+($D$17*N11)+($E$17*P11)+($F$17*O11)</f>
        <v>0</v>
      </c>
      <c r="AG51" s="40">
        <f>($C$17*P10)+($D$17*O11)+($E$17*P11)+($F$17*P11)</f>
        <v>0</v>
      </c>
      <c r="AI51" s="7" t="s">
        <v>3</v>
      </c>
      <c r="AJ51" s="49">
        <f t="shared" si="64"/>
        <v>0</v>
      </c>
      <c r="AK51" s="39">
        <f t="shared" si="64"/>
        <v>0</v>
      </c>
      <c r="AL51" s="49">
        <f t="shared" si="48"/>
        <v>0</v>
      </c>
      <c r="AM51" s="39">
        <f t="shared" si="44"/>
        <v>0</v>
      </c>
      <c r="AN51" s="49">
        <f>W51</f>
        <v>0</v>
      </c>
      <c r="AO51" s="39">
        <f t="shared" si="59"/>
        <v>-0.8</v>
      </c>
      <c r="AP51" s="66"/>
      <c r="AQ51" s="39">
        <f t="shared" si="67"/>
        <v>0</v>
      </c>
      <c r="AR51" s="49">
        <f t="shared" si="68"/>
        <v>0.8</v>
      </c>
      <c r="AS51" s="63"/>
      <c r="AT51" s="39">
        <f t="shared" si="61"/>
        <v>0</v>
      </c>
      <c r="AU51" s="39">
        <f t="shared" si="61"/>
        <v>0</v>
      </c>
      <c r="AV51" s="49">
        <f t="shared" si="69"/>
        <v>-0.1</v>
      </c>
      <c r="AW51" s="39">
        <f t="shared" si="70"/>
        <v>0</v>
      </c>
      <c r="AX51" s="49">
        <f t="shared" si="71"/>
        <v>0</v>
      </c>
    </row>
    <row r="52" spans="18:50" ht="22.5" customHeight="1">
      <c r="R52" s="7" t="s">
        <v>4</v>
      </c>
      <c r="S52" s="46">
        <f>($C$18*B10)+($D$18*B11)+($E$18*C11)+($F$18*B11)</f>
        <v>0</v>
      </c>
      <c r="T52" s="47">
        <f>($C$18*C10)+($D$18*B11)+($E$18*D11)+($F$18*C11)</f>
        <v>0</v>
      </c>
      <c r="U52" s="46">
        <f>($C$18*D10)+($D$18*C11)+($E$18*E11)+($F$18*D11)</f>
        <v>0</v>
      </c>
      <c r="V52" s="47">
        <f>($C$18*E10)+($D$18*D11)+($E$18*F11)+($F$18*E11)</f>
        <v>0</v>
      </c>
      <c r="W52" s="46">
        <f>($C$18*F11)+($D$18*E11)+($E$18*G11)+($F$18*F11)</f>
        <v>0</v>
      </c>
      <c r="X52" s="47">
        <f>($C$18*G10)+($D$18*F11)+($E$18*H11)+($F$18*G11)</f>
        <v>-0.1</v>
      </c>
      <c r="Y52" s="67"/>
      <c r="Z52" s="47">
        <f>($C$18*I10)+($D$18*H11)+($E$18*J11)+($F$18*I11)</f>
        <v>0</v>
      </c>
      <c r="AA52" s="46">
        <f>($C$18*J10)+($D$18*I11)+($E$18*K11)+($F$18*J11)</f>
        <v>0.1</v>
      </c>
      <c r="AB52" s="64"/>
      <c r="AC52" s="46">
        <f>($C$18*L10)+($D$18*K11)+($E$18*M11)+($F$18*L11)</f>
        <v>0</v>
      </c>
      <c r="AD52" s="47">
        <f>($C$18*M10)+($D$18*L11)+($E$18*N11)+($F$18*M11)</f>
        <v>0</v>
      </c>
      <c r="AE52" s="46">
        <f>($C$18*N10)+($D$18*M11)+($E$18*O11)+($F$18*N11)</f>
        <v>0</v>
      </c>
      <c r="AF52" s="47">
        <f>($C$18*O11)+($D$18*N11)+($E$18*P11)+($F$18*O11)</f>
        <v>0</v>
      </c>
      <c r="AG52" s="46">
        <f>($C$18*P10)+($D$18*O11)+($E$18*P11)+($F$18*P11)</f>
        <v>0</v>
      </c>
      <c r="AI52" s="7" t="s">
        <v>4</v>
      </c>
      <c r="AJ52" s="50">
        <f t="shared" si="64"/>
        <v>0</v>
      </c>
      <c r="AK52" s="47">
        <f t="shared" si="64"/>
        <v>0</v>
      </c>
      <c r="AL52" s="50">
        <f t="shared" si="48"/>
        <v>0</v>
      </c>
      <c r="AM52" s="47">
        <f t="shared" si="44"/>
        <v>0</v>
      </c>
      <c r="AN52" s="50">
        <f>W52</f>
        <v>0</v>
      </c>
      <c r="AO52" s="47">
        <f t="shared" si="59"/>
        <v>-0.1</v>
      </c>
      <c r="AP52" s="67"/>
      <c r="AQ52" s="47">
        <f t="shared" si="67"/>
        <v>0</v>
      </c>
      <c r="AR52" s="50">
        <f t="shared" si="68"/>
        <v>0.1</v>
      </c>
      <c r="AS52" s="64"/>
      <c r="AT52" s="47">
        <f t="shared" si="61"/>
        <v>0</v>
      </c>
      <c r="AU52" s="47">
        <f t="shared" si="61"/>
        <v>0</v>
      </c>
      <c r="AV52" s="50">
        <f t="shared" si="69"/>
        <v>0</v>
      </c>
      <c r="AW52" s="47">
        <f t="shared" si="70"/>
        <v>0</v>
      </c>
      <c r="AX52" s="50">
        <f t="shared" si="71"/>
        <v>0</v>
      </c>
    </row>
    <row r="53" spans="18:50" ht="22.5" customHeight="1"/>
    <row r="54" spans="18:50" ht="22.5" customHeight="1"/>
    <row r="55" spans="18:50" ht="22.5" customHeight="1"/>
    <row r="56" spans="18:50" ht="22.5" customHeight="1"/>
    <row r="57" spans="18:50" ht="22.5" customHeight="1"/>
    <row r="58" spans="18:50" ht="22.5" customHeight="1"/>
    <row r="59" spans="18:50" ht="22.5" customHeight="1"/>
    <row r="60" spans="18:50" ht="22.5" customHeight="1"/>
    <row r="61" spans="18:50" ht="22.5" customHeight="1"/>
    <row r="62" spans="18:50" ht="22.5" customHeight="1"/>
    <row r="63" spans="18:50" ht="22.5" customHeight="1"/>
    <row r="64" spans="18:50" ht="22.5" customHeight="1"/>
    <row r="65" ht="22.5" customHeight="1"/>
    <row r="66" ht="22.5" customHeight="1"/>
    <row r="67" ht="22.5" customHeight="1"/>
    <row r="68" ht="22.5" customHeight="1"/>
    <row r="69" ht="22.5" customHeight="1"/>
    <row r="70" ht="22.5" customHeight="1"/>
    <row r="71" ht="22.5" customHeight="1"/>
    <row r="72" ht="22.5" customHeight="1"/>
    <row r="73" ht="22.5" customHeight="1"/>
    <row r="74" ht="22.5" customHeight="1"/>
    <row r="75" ht="22.5" customHeight="1"/>
    <row r="76" ht="22.5" customHeight="1"/>
    <row r="77" ht="22.5" customHeight="1"/>
    <row r="78" ht="22.5" customHeight="1"/>
    <row r="79" ht="22.5" customHeight="1"/>
    <row r="80" ht="22.5" customHeight="1"/>
    <row r="81" ht="22.5" customHeight="1"/>
    <row r="82" ht="22.5" customHeight="1"/>
    <row r="83" ht="22.5" customHeight="1"/>
    <row r="84" ht="22.5" customHeight="1"/>
    <row r="85" ht="22.5" customHeight="1"/>
    <row r="86" ht="22.5" customHeight="1"/>
    <row r="87" ht="22.5" customHeight="1"/>
    <row r="88" ht="22.5" customHeight="1"/>
    <row r="89" ht="22.5" customHeight="1"/>
    <row r="90" ht="22.5" customHeight="1"/>
    <row r="91" ht="22.5" customHeight="1"/>
    <row r="92" ht="22.5" customHeight="1"/>
    <row r="93" ht="22.5" customHeight="1"/>
    <row r="94" ht="22.5" customHeight="1"/>
    <row r="95" ht="22.5" customHeight="1"/>
    <row r="96" ht="22.5" customHeight="1"/>
    <row r="97" ht="22.5" customHeight="1"/>
    <row r="98" ht="22.5" customHeight="1"/>
    <row r="99" ht="22.5" customHeight="1"/>
    <row r="100" ht="22.5" customHeight="1"/>
    <row r="101" ht="22.5" customHeight="1"/>
    <row r="102" ht="22.5" customHeight="1"/>
    <row r="103" ht="22.5" customHeight="1"/>
    <row r="104" ht="22.5" customHeight="1"/>
    <row r="105" ht="22.5" customHeight="1"/>
    <row r="106" ht="22.5" customHeight="1"/>
    <row r="107" ht="22.5" customHeight="1"/>
    <row r="108" ht="22.5" customHeight="1"/>
    <row r="109" ht="22.5" customHeight="1"/>
    <row r="110" ht="22.5" customHeight="1"/>
    <row r="111" ht="22.5" customHeight="1"/>
    <row r="112" ht="22.5" customHeight="1"/>
    <row r="113" ht="22.5" customHeight="1"/>
    <row r="114" ht="22.5" customHeight="1"/>
    <row r="115" ht="22.5" customHeight="1"/>
    <row r="116" ht="22.5" customHeight="1"/>
    <row r="117" ht="22.5" customHeight="1"/>
    <row r="118" ht="22.5" customHeight="1"/>
    <row r="119" ht="22.5" customHeight="1"/>
    <row r="120" ht="22.5" customHeight="1"/>
  </sheetData>
  <mergeCells count="23">
    <mergeCell ref="B1:P1"/>
    <mergeCell ref="S1:AG1"/>
    <mergeCell ref="AJ1:AX1"/>
    <mergeCell ref="BA1:BO1"/>
    <mergeCell ref="V17:V20"/>
    <mergeCell ref="AW17:AW20"/>
    <mergeCell ref="B13:F13"/>
    <mergeCell ref="AF17:AF20"/>
    <mergeCell ref="AM17:AM20"/>
    <mergeCell ref="AB49:AB52"/>
    <mergeCell ref="AE21:AE24"/>
    <mergeCell ref="AS21:AS24"/>
    <mergeCell ref="W41:W44"/>
    <mergeCell ref="S33:S36"/>
    <mergeCell ref="AP49:AP52"/>
    <mergeCell ref="AS49:AS52"/>
    <mergeCell ref="Y49:Y52"/>
    <mergeCell ref="AV21:AV24"/>
    <mergeCell ref="AJ33:AJ36"/>
    <mergeCell ref="AN41:AN44"/>
    <mergeCell ref="AB21:AB24"/>
    <mergeCell ref="AE45:AE48"/>
    <mergeCell ref="AV45:AV48"/>
  </mergeCells>
  <pageMargins left="0.7" right="0.7" top="0.75" bottom="0.75" header="0.3" footer="0.3"/>
  <pageSetup paperSize="9" orientation="portrait" r:id="rId1"/>
  <ignoredErrors>
    <ignoredError sqref="X21:X24 U25:U28 AF29:AF32 W33:W36 Z25:Z28 AB35:AB36 AB33 AF34 AF36 AF35 Z37:Z40 AC45:AC48 W49:W52 AF49:AF52 U13:U16 AB13:AB16 W26:W27 W25 W2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แผ่นงาน</vt:lpstr>
      </vt:variant>
      <vt:variant>
        <vt:i4>1</vt:i4>
      </vt:variant>
    </vt:vector>
  </HeadingPairs>
  <TitlesOfParts>
    <vt:vector size="1" baseType="lpstr">
      <vt:lpstr>AI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Jumpol</dc:creator>
  <cp:lastModifiedBy>Kaimook</cp:lastModifiedBy>
  <dcterms:created xsi:type="dcterms:W3CDTF">2011-01-29T16:57:36Z</dcterms:created>
  <dcterms:modified xsi:type="dcterms:W3CDTF">2012-04-04T16:50:27Z</dcterms:modified>
</cp:coreProperties>
</file>