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3408" yWindow="612" windowWidth="13380" windowHeight="6756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BM12" i="1" l="1"/>
  <c r="BL12" i="1"/>
  <c r="BM11" i="1"/>
  <c r="BL11" i="1"/>
  <c r="BI11" i="1"/>
  <c r="BF11" i="1"/>
  <c r="BC11" i="1"/>
  <c r="BL10" i="1"/>
  <c r="BK10" i="1"/>
  <c r="BJ10" i="1"/>
  <c r="BI10" i="1"/>
  <c r="BF10" i="1"/>
  <c r="BE10" i="1"/>
  <c r="BD10" i="1"/>
  <c r="BC10" i="1"/>
  <c r="BL9" i="1"/>
  <c r="BK9" i="1"/>
  <c r="BJ9" i="1"/>
  <c r="BI9" i="1"/>
  <c r="BH9" i="1"/>
  <c r="BG9" i="1"/>
  <c r="BF9" i="1"/>
  <c r="BE9" i="1"/>
  <c r="BD9" i="1"/>
  <c r="BC9" i="1"/>
  <c r="BL8" i="1"/>
  <c r="BK8" i="1"/>
  <c r="BJ8" i="1"/>
  <c r="BI8" i="1"/>
  <c r="BH8" i="1"/>
  <c r="BG8" i="1"/>
  <c r="BF8" i="1"/>
  <c r="BE8" i="1"/>
  <c r="BD8" i="1"/>
  <c r="BC8" i="1"/>
  <c r="BK7" i="1"/>
  <c r="BJ7" i="1"/>
  <c r="BI7" i="1"/>
  <c r="BH7" i="1"/>
  <c r="BG7" i="1"/>
  <c r="BF7" i="1"/>
  <c r="BE7" i="1"/>
  <c r="BD7" i="1"/>
  <c r="BJ6" i="1"/>
  <c r="BI6" i="1"/>
  <c r="BH6" i="1"/>
  <c r="BG6" i="1"/>
  <c r="BF6" i="1"/>
  <c r="BE6" i="1"/>
  <c r="BJ5" i="1"/>
  <c r="BI5" i="1"/>
  <c r="BH5" i="1"/>
  <c r="BG5" i="1"/>
  <c r="BF5" i="1"/>
  <c r="BE5" i="1"/>
  <c r="BB5" i="1"/>
  <c r="BJ4" i="1"/>
  <c r="BI4" i="1"/>
  <c r="BH4" i="1"/>
  <c r="BG4" i="1"/>
  <c r="BF4" i="1"/>
  <c r="BE4" i="1"/>
  <c r="BK3" i="1"/>
  <c r="BJ3" i="1"/>
  <c r="BE3" i="1"/>
  <c r="BD3" i="1"/>
  <c r="X56" i="1" l="1"/>
  <c r="X55" i="1"/>
  <c r="X54" i="1"/>
  <c r="X53" i="1"/>
  <c r="O32" i="1"/>
  <c r="O31" i="1"/>
  <c r="O30" i="1"/>
  <c r="O29" i="1"/>
  <c r="P28" i="1"/>
  <c r="P27" i="1"/>
  <c r="P26" i="1"/>
  <c r="P25" i="1"/>
  <c r="O24" i="1"/>
  <c r="O23" i="1"/>
  <c r="O22" i="1"/>
  <c r="O21" i="1"/>
  <c r="Q24" i="1"/>
  <c r="Q28" i="1"/>
  <c r="Y27" i="1"/>
  <c r="X26" i="1"/>
  <c r="X22" i="1"/>
  <c r="Y21" i="1"/>
  <c r="Y19" i="1"/>
  <c r="Z18" i="1"/>
  <c r="Z23" i="1"/>
  <c r="P17" i="1"/>
  <c r="O14" i="1"/>
  <c r="O17" i="1"/>
  <c r="O15" i="1"/>
  <c r="P22" i="1"/>
  <c r="P29" i="1"/>
  <c r="O33" i="1"/>
  <c r="P33" i="1"/>
  <c r="Q29" i="1"/>
  <c r="P32" i="1"/>
  <c r="P31" i="1"/>
  <c r="P30" i="1"/>
  <c r="Q25" i="1"/>
  <c r="P21" i="1"/>
  <c r="P34" i="1"/>
  <c r="B5" i="1" l="1"/>
  <c r="AL52" i="1"/>
  <c r="AI52" i="1"/>
  <c r="AF52" i="1"/>
  <c r="AC52" i="1"/>
  <c r="AL51" i="1"/>
  <c r="AI51" i="1"/>
  <c r="AF51" i="1"/>
  <c r="AC51" i="1"/>
  <c r="AL50" i="1"/>
  <c r="AI50" i="1"/>
  <c r="AF50" i="1"/>
  <c r="AC50" i="1"/>
  <c r="AL49" i="1"/>
  <c r="AI49" i="1"/>
  <c r="AF49" i="1"/>
  <c r="AC49" i="1"/>
  <c r="AL48" i="1"/>
  <c r="AK48" i="1"/>
  <c r="AJ48" i="1"/>
  <c r="AI48" i="1"/>
  <c r="AF48" i="1"/>
  <c r="AE48" i="1"/>
  <c r="AD48" i="1"/>
  <c r="AC48" i="1"/>
  <c r="AL47" i="1"/>
  <c r="AK47" i="1"/>
  <c r="AJ47" i="1"/>
  <c r="AI47" i="1"/>
  <c r="AF47" i="1"/>
  <c r="AE47" i="1"/>
  <c r="AD47" i="1"/>
  <c r="AC47" i="1"/>
  <c r="AL46" i="1"/>
  <c r="AK46" i="1"/>
  <c r="AJ46" i="1"/>
  <c r="AI46" i="1"/>
  <c r="AF46" i="1"/>
  <c r="AE46" i="1"/>
  <c r="AD46" i="1"/>
  <c r="AC46" i="1"/>
  <c r="AL45" i="1"/>
  <c r="AK45" i="1"/>
  <c r="AJ45" i="1"/>
  <c r="AI45" i="1"/>
  <c r="AF45" i="1"/>
  <c r="AE45" i="1"/>
  <c r="AD45" i="1"/>
  <c r="AC45" i="1"/>
  <c r="AL44" i="1"/>
  <c r="AK44" i="1"/>
  <c r="AJ44" i="1"/>
  <c r="AI44" i="1"/>
  <c r="AH44" i="1"/>
  <c r="AG44" i="1"/>
  <c r="AF44" i="1"/>
  <c r="AE44" i="1"/>
  <c r="AD44" i="1"/>
  <c r="AC44" i="1"/>
  <c r="AL43" i="1"/>
  <c r="AK43" i="1"/>
  <c r="AJ43" i="1"/>
  <c r="AI43" i="1"/>
  <c r="AH43" i="1"/>
  <c r="AG43" i="1"/>
  <c r="AF43" i="1"/>
  <c r="AE43" i="1"/>
  <c r="AD43" i="1"/>
  <c r="AC43" i="1"/>
  <c r="AL42" i="1"/>
  <c r="AK42" i="1"/>
  <c r="AJ42" i="1"/>
  <c r="AI42" i="1"/>
  <c r="AH42" i="1"/>
  <c r="AG42" i="1"/>
  <c r="AF42" i="1"/>
  <c r="AE42" i="1"/>
  <c r="AD42" i="1"/>
  <c r="AC42" i="1"/>
  <c r="AL41" i="1"/>
  <c r="AK41" i="1"/>
  <c r="AJ41" i="1"/>
  <c r="AI41" i="1"/>
  <c r="AH41" i="1"/>
  <c r="AG41" i="1"/>
  <c r="AF41" i="1"/>
  <c r="AE41" i="1"/>
  <c r="AD41" i="1"/>
  <c r="AC41" i="1"/>
  <c r="AL40" i="1"/>
  <c r="AK40" i="1"/>
  <c r="AJ40" i="1"/>
  <c r="AI40" i="1"/>
  <c r="AH40" i="1"/>
  <c r="AG40" i="1"/>
  <c r="AF40" i="1"/>
  <c r="AE40" i="1"/>
  <c r="AD40" i="1"/>
  <c r="AC40" i="1"/>
  <c r="AL39" i="1"/>
  <c r="AK39" i="1"/>
  <c r="AJ39" i="1"/>
  <c r="AI39" i="1"/>
  <c r="AH39" i="1"/>
  <c r="AG39" i="1"/>
  <c r="AF39" i="1"/>
  <c r="AE39" i="1"/>
  <c r="AD39" i="1"/>
  <c r="AC39" i="1"/>
  <c r="AL38" i="1"/>
  <c r="AK38" i="1"/>
  <c r="AJ38" i="1"/>
  <c r="AI38" i="1"/>
  <c r="AH38" i="1"/>
  <c r="AG38" i="1"/>
  <c r="AF38" i="1"/>
  <c r="AE38" i="1"/>
  <c r="AD38" i="1"/>
  <c r="AC38" i="1"/>
  <c r="AL37" i="1"/>
  <c r="AK37" i="1"/>
  <c r="AJ37" i="1"/>
  <c r="AI37" i="1"/>
  <c r="AH37" i="1"/>
  <c r="AG37" i="1"/>
  <c r="AF37" i="1"/>
  <c r="AE37" i="1"/>
  <c r="AD37" i="1"/>
  <c r="AC37" i="1"/>
  <c r="AK36" i="1"/>
  <c r="AJ36" i="1"/>
  <c r="AI36" i="1"/>
  <c r="AH36" i="1"/>
  <c r="AG36" i="1"/>
  <c r="AF36" i="1"/>
  <c r="AE36" i="1"/>
  <c r="AD36" i="1"/>
  <c r="AK35" i="1"/>
  <c r="AJ35" i="1"/>
  <c r="AI35" i="1"/>
  <c r="AH35" i="1"/>
  <c r="AG35" i="1"/>
  <c r="AF35" i="1"/>
  <c r="AE35" i="1"/>
  <c r="AD35" i="1"/>
  <c r="AK34" i="1"/>
  <c r="AJ34" i="1"/>
  <c r="AI34" i="1"/>
  <c r="AH34" i="1"/>
  <c r="AG34" i="1"/>
  <c r="AF34" i="1"/>
  <c r="AE34" i="1"/>
  <c r="AD34" i="1"/>
  <c r="AK33" i="1"/>
  <c r="AJ33" i="1"/>
  <c r="AI33" i="1"/>
  <c r="AH33" i="1"/>
  <c r="AG33" i="1"/>
  <c r="AF33" i="1"/>
  <c r="AE33" i="1"/>
  <c r="AD33" i="1"/>
  <c r="AJ32" i="1"/>
  <c r="AI32" i="1"/>
  <c r="AH32" i="1"/>
  <c r="AG32" i="1"/>
  <c r="AF32" i="1"/>
  <c r="AE32" i="1"/>
  <c r="AJ31" i="1"/>
  <c r="AI31" i="1"/>
  <c r="AH31" i="1"/>
  <c r="AG31" i="1"/>
  <c r="AF31" i="1"/>
  <c r="AE31" i="1"/>
  <c r="AJ30" i="1"/>
  <c r="AI30" i="1"/>
  <c r="AH30" i="1"/>
  <c r="AG30" i="1"/>
  <c r="AF30" i="1"/>
  <c r="AE30" i="1"/>
  <c r="AJ29" i="1"/>
  <c r="AI29" i="1"/>
  <c r="AH29" i="1"/>
  <c r="AG29" i="1"/>
  <c r="AF29" i="1"/>
  <c r="AE29" i="1"/>
  <c r="AJ28" i="1"/>
  <c r="AI28" i="1"/>
  <c r="AH28" i="1"/>
  <c r="AG28" i="1"/>
  <c r="AF28" i="1"/>
  <c r="AE28" i="1"/>
  <c r="AJ27" i="1"/>
  <c r="AI27" i="1"/>
  <c r="AH27" i="1"/>
  <c r="AG27" i="1"/>
  <c r="AF27" i="1"/>
  <c r="AE27" i="1"/>
  <c r="AJ26" i="1"/>
  <c r="AI26" i="1"/>
  <c r="AH26" i="1"/>
  <c r="AG26" i="1"/>
  <c r="AF26" i="1"/>
  <c r="AE26" i="1"/>
  <c r="AJ25" i="1"/>
  <c r="AI25" i="1"/>
  <c r="AH25" i="1"/>
  <c r="AG25" i="1"/>
  <c r="AF25" i="1"/>
  <c r="AE25" i="1"/>
  <c r="AJ24" i="1"/>
  <c r="AI24" i="1"/>
  <c r="AH24" i="1"/>
  <c r="AG24" i="1"/>
  <c r="AF24" i="1"/>
  <c r="AE24" i="1"/>
  <c r="AJ23" i="1"/>
  <c r="AI23" i="1"/>
  <c r="AH23" i="1"/>
  <c r="AG23" i="1"/>
  <c r="AF23" i="1"/>
  <c r="AE23" i="1"/>
  <c r="AJ22" i="1"/>
  <c r="AI22" i="1"/>
  <c r="AH22" i="1"/>
  <c r="AG22" i="1"/>
  <c r="AF22" i="1"/>
  <c r="AE22" i="1"/>
  <c r="AJ21" i="1"/>
  <c r="AI21" i="1"/>
  <c r="AH21" i="1"/>
  <c r="AG21" i="1"/>
  <c r="AF21" i="1"/>
  <c r="AE21" i="1"/>
  <c r="AK20" i="1"/>
  <c r="AD20" i="1"/>
  <c r="AK19" i="1"/>
  <c r="AD19" i="1"/>
  <c r="AK18" i="1"/>
  <c r="AD18" i="1"/>
  <c r="AK17" i="1"/>
  <c r="AD17" i="1"/>
  <c r="S56" i="1" l="1"/>
  <c r="AF56" i="1" s="1"/>
  <c r="S55" i="1"/>
  <c r="AF55" i="1" s="1"/>
  <c r="S54" i="1"/>
  <c r="AF54" i="1" s="1"/>
  <c r="S53" i="1"/>
  <c r="T56" i="1"/>
  <c r="AG56" i="1" s="1"/>
  <c r="T55" i="1"/>
  <c r="AG55" i="1" s="1"/>
  <c r="T54" i="1"/>
  <c r="AG54" i="1" s="1"/>
  <c r="T53" i="1"/>
  <c r="T52" i="1"/>
  <c r="AG52" i="1" s="1"/>
  <c r="T51" i="1"/>
  <c r="AG51" i="1" s="1"/>
  <c r="T50" i="1"/>
  <c r="AG50" i="1" s="1"/>
  <c r="T49" i="1"/>
  <c r="T48" i="1"/>
  <c r="AG48" i="1" s="1"/>
  <c r="T47" i="1"/>
  <c r="AG47" i="1" s="1"/>
  <c r="T46" i="1"/>
  <c r="AG46" i="1" s="1"/>
  <c r="T45" i="1"/>
  <c r="U56" i="1"/>
  <c r="AH56" i="1" s="1"/>
  <c r="U55" i="1"/>
  <c r="AH55" i="1" s="1"/>
  <c r="U54" i="1"/>
  <c r="AH54" i="1" s="1"/>
  <c r="U53" i="1"/>
  <c r="U52" i="1"/>
  <c r="AH52" i="1" s="1"/>
  <c r="U51" i="1"/>
  <c r="AH51" i="1" s="1"/>
  <c r="U50" i="1"/>
  <c r="AH50" i="1" s="1"/>
  <c r="U49" i="1"/>
  <c r="U48" i="1"/>
  <c r="AH48" i="1" s="1"/>
  <c r="U47" i="1"/>
  <c r="AH47" i="1" s="1"/>
  <c r="U46" i="1"/>
  <c r="AH46" i="1" s="1"/>
  <c r="U45" i="1"/>
  <c r="V56" i="1"/>
  <c r="AI56" i="1" s="1"/>
  <c r="V55" i="1"/>
  <c r="AI55" i="1" s="1"/>
  <c r="V54" i="1"/>
  <c r="AI54" i="1" s="1"/>
  <c r="V53" i="1"/>
  <c r="W53" i="1"/>
  <c r="W54" i="1"/>
  <c r="AJ54" i="1" s="1"/>
  <c r="W56" i="1"/>
  <c r="AJ56" i="1" s="1"/>
  <c r="W55" i="1"/>
  <c r="AJ55" i="1" s="1"/>
  <c r="W52" i="1"/>
  <c r="AJ52" i="1" s="1"/>
  <c r="W51" i="1"/>
  <c r="AJ51" i="1" s="1"/>
  <c r="W50" i="1"/>
  <c r="AJ50" i="1" s="1"/>
  <c r="W49" i="1"/>
  <c r="AK53" i="1"/>
  <c r="X52" i="1"/>
  <c r="AK52" i="1" s="1"/>
  <c r="X51" i="1"/>
  <c r="AK51" i="1" s="1"/>
  <c r="X50" i="1"/>
  <c r="AK50" i="1" s="1"/>
  <c r="X49" i="1"/>
  <c r="AL56" i="1"/>
  <c r="AL55" i="1"/>
  <c r="AL54" i="1"/>
  <c r="AM56" i="1"/>
  <c r="AM55" i="1"/>
  <c r="AM54" i="1"/>
  <c r="AM52" i="1"/>
  <c r="AM51" i="1"/>
  <c r="AM50" i="1"/>
  <c r="Z48" i="1"/>
  <c r="AM48" i="1" s="1"/>
  <c r="Z47" i="1"/>
  <c r="AM47" i="1" s="1"/>
  <c r="Z46" i="1"/>
  <c r="AM46" i="1" s="1"/>
  <c r="Z45" i="1"/>
  <c r="Z41" i="1"/>
  <c r="Z44" i="1"/>
  <c r="AM44" i="1" s="1"/>
  <c r="Z43" i="1"/>
  <c r="AM43" i="1" s="1"/>
  <c r="Z42" i="1"/>
  <c r="AM42" i="1" s="1"/>
  <c r="Z40" i="1"/>
  <c r="AM40" i="1" s="1"/>
  <c r="Z39" i="1"/>
  <c r="AM39" i="1" s="1"/>
  <c r="Z38" i="1"/>
  <c r="AM38" i="1" s="1"/>
  <c r="Z37" i="1"/>
  <c r="Z36" i="1"/>
  <c r="AM36" i="1" s="1"/>
  <c r="Z35" i="1"/>
  <c r="AM35" i="1" s="1"/>
  <c r="Z34" i="1"/>
  <c r="AM34" i="1" s="1"/>
  <c r="Z33" i="1"/>
  <c r="Y36" i="1"/>
  <c r="AL36" i="1" s="1"/>
  <c r="Y35" i="1"/>
  <c r="AL35" i="1" s="1"/>
  <c r="Y34" i="1"/>
  <c r="AL34" i="1" s="1"/>
  <c r="Y33" i="1"/>
  <c r="Z32" i="1"/>
  <c r="AM32" i="1" s="1"/>
  <c r="Z31" i="1"/>
  <c r="AM31" i="1" s="1"/>
  <c r="Z30" i="1"/>
  <c r="AM30" i="1" s="1"/>
  <c r="Z29" i="1"/>
  <c r="Z28" i="1"/>
  <c r="AM28" i="1" s="1"/>
  <c r="Z27" i="1"/>
  <c r="AM27" i="1" s="1"/>
  <c r="Z26" i="1"/>
  <c r="AM26" i="1" s="1"/>
  <c r="Z25" i="1"/>
  <c r="AM25" i="1" s="1"/>
  <c r="Y32" i="1"/>
  <c r="AL32" i="1" s="1"/>
  <c r="Y31" i="1"/>
  <c r="AL31" i="1" s="1"/>
  <c r="Y30" i="1"/>
  <c r="AL30" i="1" s="1"/>
  <c r="Y29" i="1"/>
  <c r="Y28" i="1"/>
  <c r="AL28" i="1" s="1"/>
  <c r="AL27" i="1"/>
  <c r="Y26" i="1"/>
  <c r="AL26" i="1" s="1"/>
  <c r="Y25" i="1"/>
  <c r="AL25" i="1" s="1"/>
  <c r="Z24" i="1"/>
  <c r="AM24" i="1" s="1"/>
  <c r="AM23" i="1"/>
  <c r="Z22" i="1"/>
  <c r="AM22" i="1" s="1"/>
  <c r="Z21" i="1"/>
  <c r="Y24" i="1"/>
  <c r="AL24" i="1" s="1"/>
  <c r="Y23" i="1"/>
  <c r="AL23" i="1" s="1"/>
  <c r="Y22" i="1"/>
  <c r="AL22" i="1" s="1"/>
  <c r="X29" i="1"/>
  <c r="X32" i="1"/>
  <c r="AK32" i="1" s="1"/>
  <c r="X31" i="1"/>
  <c r="AK31" i="1" s="1"/>
  <c r="X30" i="1"/>
  <c r="AK30" i="1" s="1"/>
  <c r="X28" i="1"/>
  <c r="AK28" i="1" s="1"/>
  <c r="X27" i="1"/>
  <c r="AK27" i="1" s="1"/>
  <c r="AK26" i="1"/>
  <c r="X25" i="1"/>
  <c r="AK25" i="1" s="1"/>
  <c r="X21" i="1"/>
  <c r="X24" i="1"/>
  <c r="AK24" i="1" s="1"/>
  <c r="X23" i="1"/>
  <c r="AK23" i="1" s="1"/>
  <c r="AK22" i="1"/>
  <c r="Z20" i="1"/>
  <c r="AM20" i="1" s="1"/>
  <c r="Z19" i="1"/>
  <c r="AM19" i="1" s="1"/>
  <c r="AM18" i="1"/>
  <c r="Z17" i="1"/>
  <c r="Y20" i="1"/>
  <c r="AL20" i="1" s="1"/>
  <c r="AL19" i="1"/>
  <c r="Y18" i="1"/>
  <c r="AL18" i="1" s="1"/>
  <c r="Y17" i="1"/>
  <c r="Z13" i="1"/>
  <c r="Z16" i="1"/>
  <c r="AM16" i="1" s="1"/>
  <c r="Z15" i="1"/>
  <c r="AM15" i="1" s="1"/>
  <c r="Z14" i="1"/>
  <c r="AM14" i="1" s="1"/>
  <c r="Y16" i="1"/>
  <c r="AL16" i="1" s="1"/>
  <c r="Y15" i="1"/>
  <c r="AL15" i="1" s="1"/>
  <c r="Y14" i="1"/>
  <c r="AL14" i="1" s="1"/>
  <c r="Y13" i="1"/>
  <c r="X16" i="1"/>
  <c r="AK16" i="1" s="1"/>
  <c r="X15" i="1"/>
  <c r="AK15" i="1" s="1"/>
  <c r="X14" i="1"/>
  <c r="AK14" i="1" s="1"/>
  <c r="X13" i="1"/>
  <c r="AJ20" i="1"/>
  <c r="AJ19" i="1"/>
  <c r="AJ18" i="1"/>
  <c r="W16" i="1"/>
  <c r="AJ16" i="1" s="1"/>
  <c r="W15" i="1"/>
  <c r="AJ15" i="1" s="1"/>
  <c r="W14" i="1"/>
  <c r="AJ14" i="1" s="1"/>
  <c r="W13" i="1"/>
  <c r="V20" i="1"/>
  <c r="AI20" i="1" s="1"/>
  <c r="V19" i="1"/>
  <c r="AI19" i="1" s="1"/>
  <c r="V18" i="1"/>
  <c r="AI18" i="1" s="1"/>
  <c r="V17" i="1"/>
  <c r="V16" i="1"/>
  <c r="AI16" i="1" s="1"/>
  <c r="V15" i="1"/>
  <c r="AI15" i="1" s="1"/>
  <c r="V14" i="1"/>
  <c r="AI14" i="1" s="1"/>
  <c r="V13" i="1"/>
  <c r="U20" i="1"/>
  <c r="AH20" i="1" s="1"/>
  <c r="U19" i="1"/>
  <c r="AH19" i="1" s="1"/>
  <c r="U18" i="1"/>
  <c r="AH18" i="1" s="1"/>
  <c r="U17" i="1"/>
  <c r="U16" i="1"/>
  <c r="AH16" i="1" s="1"/>
  <c r="U15" i="1"/>
  <c r="AH15" i="1" s="1"/>
  <c r="U14" i="1"/>
  <c r="AH14" i="1" s="1"/>
  <c r="U13" i="1"/>
  <c r="T20" i="1"/>
  <c r="AG20" i="1" s="1"/>
  <c r="T19" i="1"/>
  <c r="AG19" i="1" s="1"/>
  <c r="T18" i="1"/>
  <c r="AG18" i="1" s="1"/>
  <c r="T17" i="1"/>
  <c r="T16" i="1"/>
  <c r="AG16" i="1" s="1"/>
  <c r="T15" i="1"/>
  <c r="AG15" i="1" s="1"/>
  <c r="T14" i="1"/>
  <c r="AG14" i="1" s="1"/>
  <c r="T13" i="1"/>
  <c r="S20" i="1"/>
  <c r="AF20" i="1" s="1"/>
  <c r="S19" i="1"/>
  <c r="AF19" i="1" s="1"/>
  <c r="S18" i="1"/>
  <c r="AF18" i="1" s="1"/>
  <c r="S17" i="1"/>
  <c r="S16" i="1"/>
  <c r="AF16" i="1" s="1"/>
  <c r="S15" i="1"/>
  <c r="AF15" i="1" s="1"/>
  <c r="S14" i="1"/>
  <c r="AF14" i="1" s="1"/>
  <c r="S13" i="1"/>
  <c r="AE20" i="1"/>
  <c r="AE19" i="1"/>
  <c r="AE18" i="1"/>
  <c r="R16" i="1"/>
  <c r="AE16" i="1" s="1"/>
  <c r="R15" i="1"/>
  <c r="AE15" i="1" s="1"/>
  <c r="R14" i="1"/>
  <c r="AE14" i="1" s="1"/>
  <c r="R13" i="1"/>
  <c r="R56" i="1"/>
  <c r="AE56" i="1" s="1"/>
  <c r="R55" i="1"/>
  <c r="AE55" i="1" s="1"/>
  <c r="R54" i="1"/>
  <c r="AE54" i="1" s="1"/>
  <c r="R53" i="1"/>
  <c r="Q53" i="1"/>
  <c r="R52" i="1"/>
  <c r="AE52" i="1" s="1"/>
  <c r="R51" i="1"/>
  <c r="AE51" i="1" s="1"/>
  <c r="R50" i="1"/>
  <c r="AE50" i="1" s="1"/>
  <c r="R49" i="1"/>
  <c r="Q56" i="1"/>
  <c r="AD56" i="1" s="1"/>
  <c r="Q55" i="1"/>
  <c r="AD55" i="1" s="1"/>
  <c r="Q54" i="1"/>
  <c r="AD54" i="1" s="1"/>
  <c r="O13" i="1"/>
  <c r="M5" i="1" l="1"/>
  <c r="AZ5" i="1" s="1"/>
  <c r="BM5" i="1" s="1"/>
  <c r="AM5" i="1"/>
  <c r="AK5" i="1"/>
  <c r="AM49" i="1"/>
  <c r="AM45" i="1"/>
  <c r="AM10" i="1" s="1"/>
  <c r="M10" i="1"/>
  <c r="AZ10" i="1" s="1"/>
  <c r="BM10" i="1" s="1"/>
  <c r="AM41" i="1"/>
  <c r="AM9" i="1" s="1"/>
  <c r="M9" i="1"/>
  <c r="AZ9" i="1" s="1"/>
  <c r="BM9" i="1" s="1"/>
  <c r="AM37" i="1"/>
  <c r="AM8" i="1" s="1"/>
  <c r="M8" i="1"/>
  <c r="AZ8" i="1" s="1"/>
  <c r="BM8" i="1" s="1"/>
  <c r="AM53" i="1"/>
  <c r="AM33" i="1"/>
  <c r="AM7" i="1" s="1"/>
  <c r="M7" i="1"/>
  <c r="AZ7" i="1" s="1"/>
  <c r="BM7" i="1" s="1"/>
  <c r="AM29" i="1"/>
  <c r="AM6" i="1" s="1"/>
  <c r="M6" i="1"/>
  <c r="AZ6" i="1" s="1"/>
  <c r="BM6" i="1" s="1"/>
  <c r="AL33" i="1"/>
  <c r="AL7" i="1" s="1"/>
  <c r="L7" i="1"/>
  <c r="AY7" i="1" s="1"/>
  <c r="BL7" i="1" s="1"/>
  <c r="AL5" i="1"/>
  <c r="AM21" i="1"/>
  <c r="AM4" i="1" s="1"/>
  <c r="M4" i="1"/>
  <c r="AZ4" i="1" s="1"/>
  <c r="BM4" i="1" s="1"/>
  <c r="AM17" i="1"/>
  <c r="AM3" i="1" s="1"/>
  <c r="M3" i="1"/>
  <c r="AZ3" i="1" s="1"/>
  <c r="BM3" i="1" s="1"/>
  <c r="AM13" i="1"/>
  <c r="AM2" i="1" s="1"/>
  <c r="M2" i="1"/>
  <c r="AZ2" i="1" s="1"/>
  <c r="BM2" i="1" s="1"/>
  <c r="AL17" i="1"/>
  <c r="AL3" i="1" s="1"/>
  <c r="L3" i="1"/>
  <c r="AY3" i="1" s="1"/>
  <c r="BL3" i="1" s="1"/>
  <c r="AL53" i="1"/>
  <c r="AL29" i="1"/>
  <c r="AL6" i="1" s="1"/>
  <c r="L6" i="1"/>
  <c r="AY6" i="1" s="1"/>
  <c r="BL6" i="1" s="1"/>
  <c r="L5" i="1"/>
  <c r="AY5" i="1" s="1"/>
  <c r="BL5" i="1" s="1"/>
  <c r="AK29" i="1"/>
  <c r="AK6" i="1" s="1"/>
  <c r="K5" i="1"/>
  <c r="AX5" i="1" s="1"/>
  <c r="BK5" i="1" s="1"/>
  <c r="K6" i="1"/>
  <c r="AX6" i="1" s="1"/>
  <c r="BK6" i="1" s="1"/>
  <c r="AL21" i="1"/>
  <c r="AL4" i="1" s="1"/>
  <c r="L4" i="1"/>
  <c r="AY4" i="1" s="1"/>
  <c r="BL4" i="1" s="1"/>
  <c r="AK21" i="1"/>
  <c r="AK4" i="1" s="1"/>
  <c r="K4" i="1"/>
  <c r="AX4" i="1" s="1"/>
  <c r="BK4" i="1" s="1"/>
  <c r="AL13" i="1"/>
  <c r="AL2" i="1" s="1"/>
  <c r="L2" i="1"/>
  <c r="AY2" i="1" s="1"/>
  <c r="BL2" i="1" s="1"/>
  <c r="AJ49" i="1"/>
  <c r="AJ11" i="1" s="1"/>
  <c r="J11" i="1"/>
  <c r="AW11" i="1" s="1"/>
  <c r="BJ11" i="1" s="1"/>
  <c r="AK49" i="1"/>
  <c r="AK11" i="1" s="1"/>
  <c r="K11" i="1"/>
  <c r="AX11" i="1" s="1"/>
  <c r="BK11" i="1" s="1"/>
  <c r="AK13" i="1"/>
  <c r="AK2" i="1" s="1"/>
  <c r="K2" i="1"/>
  <c r="AX2" i="1" s="1"/>
  <c r="BK2" i="1" s="1"/>
  <c r="AJ53" i="1"/>
  <c r="AJ12" i="1" s="1"/>
  <c r="J12" i="1"/>
  <c r="AW12" i="1" s="1"/>
  <c r="BJ12" i="1" s="1"/>
  <c r="AJ17" i="1"/>
  <c r="AJ13" i="1"/>
  <c r="AJ2" i="1" s="1"/>
  <c r="J2" i="1"/>
  <c r="AW2" i="1" s="1"/>
  <c r="BJ2" i="1" s="1"/>
  <c r="AI53" i="1"/>
  <c r="AI12" i="1" s="1"/>
  <c r="I12" i="1"/>
  <c r="AV12" i="1" s="1"/>
  <c r="BI12" i="1" s="1"/>
  <c r="AI17" i="1"/>
  <c r="AI3" i="1" s="1"/>
  <c r="I3" i="1"/>
  <c r="AV3" i="1" s="1"/>
  <c r="BI3" i="1" s="1"/>
  <c r="AI13" i="1"/>
  <c r="AI2" i="1" s="1"/>
  <c r="I2" i="1"/>
  <c r="AV2" i="1" s="1"/>
  <c r="BI2" i="1" s="1"/>
  <c r="AH53" i="1"/>
  <c r="AH12" i="1" s="1"/>
  <c r="H12" i="1"/>
  <c r="AU12" i="1" s="1"/>
  <c r="BH12" i="1" s="1"/>
  <c r="AH49" i="1"/>
  <c r="AH11" i="1" s="1"/>
  <c r="H11" i="1"/>
  <c r="AU11" i="1" s="1"/>
  <c r="BH11" i="1" s="1"/>
  <c r="AH45" i="1"/>
  <c r="AH10" i="1" s="1"/>
  <c r="H10" i="1"/>
  <c r="AU10" i="1" s="1"/>
  <c r="BH10" i="1" s="1"/>
  <c r="AG45" i="1"/>
  <c r="AG10" i="1" s="1"/>
  <c r="G10" i="1"/>
  <c r="AT10" i="1" s="1"/>
  <c r="BG10" i="1" s="1"/>
  <c r="AG49" i="1"/>
  <c r="AG11" i="1" s="1"/>
  <c r="G11" i="1"/>
  <c r="AT11" i="1" s="1"/>
  <c r="BG11" i="1" s="1"/>
  <c r="AH17" i="1"/>
  <c r="AH3" i="1" s="1"/>
  <c r="H3" i="1"/>
  <c r="AU3" i="1" s="1"/>
  <c r="BH3" i="1" s="1"/>
  <c r="AH13" i="1"/>
  <c r="AH2" i="1" s="1"/>
  <c r="H2" i="1"/>
  <c r="AU2" i="1" s="1"/>
  <c r="BH2" i="1" s="1"/>
  <c r="AG53" i="1"/>
  <c r="AG12" i="1" s="1"/>
  <c r="G12" i="1"/>
  <c r="AT12" i="1" s="1"/>
  <c r="BG12" i="1" s="1"/>
  <c r="AG17" i="1"/>
  <c r="AG3" i="1" s="1"/>
  <c r="G3" i="1"/>
  <c r="AT3" i="1" s="1"/>
  <c r="BG3" i="1" s="1"/>
  <c r="AG13" i="1"/>
  <c r="AG2" i="1" s="1"/>
  <c r="G2" i="1"/>
  <c r="AT2" i="1" s="1"/>
  <c r="BG2" i="1" s="1"/>
  <c r="AF53" i="1"/>
  <c r="AF12" i="1" s="1"/>
  <c r="F12" i="1"/>
  <c r="AS12" i="1" s="1"/>
  <c r="BF12" i="1" s="1"/>
  <c r="AF17" i="1"/>
  <c r="AF3" i="1" s="1"/>
  <c r="F3" i="1"/>
  <c r="AS3" i="1" s="1"/>
  <c r="BF3" i="1" s="1"/>
  <c r="AF13" i="1"/>
  <c r="AF2" i="1" s="1"/>
  <c r="F2" i="1"/>
  <c r="AS2" i="1" s="1"/>
  <c r="BF2" i="1" s="1"/>
  <c r="AE17" i="1"/>
  <c r="AE53" i="1"/>
  <c r="AE12" i="1" s="1"/>
  <c r="E12" i="1"/>
  <c r="AR12" i="1" s="1"/>
  <c r="BE12" i="1" s="1"/>
  <c r="AE49" i="1"/>
  <c r="AE11" i="1" s="1"/>
  <c r="E11" i="1"/>
  <c r="AR11" i="1" s="1"/>
  <c r="BE11" i="1" s="1"/>
  <c r="AE13" i="1"/>
  <c r="AE2" i="1" s="1"/>
  <c r="E2" i="1"/>
  <c r="AR2" i="1" s="1"/>
  <c r="BE2" i="1" s="1"/>
  <c r="AD53" i="1"/>
  <c r="AD12" i="1" s="1"/>
  <c r="D12" i="1"/>
  <c r="AQ12" i="1" s="1"/>
  <c r="BD12" i="1" s="1"/>
  <c r="AB13" i="1"/>
  <c r="Q52" i="1"/>
  <c r="AD52" i="1" s="1"/>
  <c r="Q51" i="1"/>
  <c r="AD51" i="1" s="1"/>
  <c r="Q50" i="1"/>
  <c r="AD50" i="1" s="1"/>
  <c r="Q49" i="1"/>
  <c r="Q32" i="1"/>
  <c r="AD32" i="1" s="1"/>
  <c r="Q31" i="1"/>
  <c r="AD31" i="1" s="1"/>
  <c r="Q30" i="1"/>
  <c r="AD30" i="1" s="1"/>
  <c r="AD28" i="1"/>
  <c r="Q27" i="1"/>
  <c r="AD27" i="1" s="1"/>
  <c r="Q26" i="1"/>
  <c r="AD26" i="1" s="1"/>
  <c r="AD25" i="1"/>
  <c r="Q22" i="1"/>
  <c r="AD22" i="1" s="1"/>
  <c r="AD24" i="1"/>
  <c r="Q23" i="1"/>
  <c r="AD23" i="1" s="1"/>
  <c r="Q21" i="1"/>
  <c r="Q16" i="1"/>
  <c r="AD16" i="1" s="1"/>
  <c r="Q15" i="1"/>
  <c r="AD15" i="1" s="1"/>
  <c r="Q14" i="1"/>
  <c r="AD14" i="1" s="1"/>
  <c r="Q13" i="1"/>
  <c r="AD5" i="1" l="1"/>
  <c r="AD49" i="1"/>
  <c r="AD11" i="1" s="1"/>
  <c r="D11" i="1"/>
  <c r="AQ11" i="1" s="1"/>
  <c r="BD11" i="1" s="1"/>
  <c r="AD29" i="1"/>
  <c r="AD6" i="1" s="1"/>
  <c r="D6" i="1"/>
  <c r="AQ6" i="1" s="1"/>
  <c r="BD6" i="1" s="1"/>
  <c r="D5" i="1"/>
  <c r="AQ5" i="1" s="1"/>
  <c r="BD5" i="1" s="1"/>
  <c r="AD21" i="1"/>
  <c r="AD4" i="1" s="1"/>
  <c r="D4" i="1"/>
  <c r="AQ4" i="1" s="1"/>
  <c r="BD4" i="1" s="1"/>
  <c r="AD13" i="1"/>
  <c r="AD2" i="1" s="1"/>
  <c r="D2" i="1"/>
  <c r="AQ2" i="1" s="1"/>
  <c r="BD2" i="1" s="1"/>
  <c r="P56" i="1"/>
  <c r="AC56" i="1" s="1"/>
  <c r="P55" i="1"/>
  <c r="AC55" i="1" s="1"/>
  <c r="P54" i="1"/>
  <c r="AC54" i="1" s="1"/>
  <c r="P53" i="1"/>
  <c r="P36" i="1"/>
  <c r="AC36" i="1" s="1"/>
  <c r="P35" i="1"/>
  <c r="AC35" i="1" s="1"/>
  <c r="AC34" i="1"/>
  <c r="AC28" i="1"/>
  <c r="AC27" i="1"/>
  <c r="AC26" i="1"/>
  <c r="AC25" i="1"/>
  <c r="AC22" i="1"/>
  <c r="P24" i="1"/>
  <c r="AC24" i="1" s="1"/>
  <c r="P23" i="1"/>
  <c r="AC23" i="1" s="1"/>
  <c r="P20" i="1"/>
  <c r="AC20" i="1" s="1"/>
  <c r="P19" i="1"/>
  <c r="AC19" i="1" s="1"/>
  <c r="P18" i="1"/>
  <c r="AC18" i="1" s="1"/>
  <c r="O54" i="1"/>
  <c r="AB54" i="1" s="1"/>
  <c r="P16" i="1"/>
  <c r="AC16" i="1" s="1"/>
  <c r="P15" i="1"/>
  <c r="AC15" i="1" s="1"/>
  <c r="P14" i="1"/>
  <c r="AC14" i="1" s="1"/>
  <c r="P13" i="1"/>
  <c r="O56" i="1"/>
  <c r="AB56" i="1" s="1"/>
  <c r="O55" i="1"/>
  <c r="AB55" i="1" s="1"/>
  <c r="O53" i="1"/>
  <c r="O52" i="1"/>
  <c r="AB52" i="1" s="1"/>
  <c r="O51" i="1"/>
  <c r="AB51" i="1" s="1"/>
  <c r="O50" i="1"/>
  <c r="AB50" i="1" s="1"/>
  <c r="O49" i="1"/>
  <c r="O48" i="1"/>
  <c r="AB48" i="1" s="1"/>
  <c r="O47" i="1"/>
  <c r="AB47" i="1" s="1"/>
  <c r="O46" i="1"/>
  <c r="AB46" i="1" s="1"/>
  <c r="O45" i="1"/>
  <c r="O44" i="1"/>
  <c r="AB44" i="1" s="1"/>
  <c r="O43" i="1"/>
  <c r="AB43" i="1" s="1"/>
  <c r="O42" i="1"/>
  <c r="AB42" i="1" s="1"/>
  <c r="O41" i="1"/>
  <c r="O40" i="1"/>
  <c r="AB40" i="1" s="1"/>
  <c r="O39" i="1"/>
  <c r="AB39" i="1" s="1"/>
  <c r="O38" i="1"/>
  <c r="AB38" i="1" s="1"/>
  <c r="O37" i="1"/>
  <c r="O35" i="1"/>
  <c r="AB35" i="1" s="1"/>
  <c r="O36" i="1"/>
  <c r="AB36" i="1" s="1"/>
  <c r="O34" i="1"/>
  <c r="AB34" i="1" s="1"/>
  <c r="AB32" i="1"/>
  <c r="AB31" i="1"/>
  <c r="AB30" i="1"/>
  <c r="AB25" i="1"/>
  <c r="AB28" i="1"/>
  <c r="AB27" i="1"/>
  <c r="AB26" i="1"/>
  <c r="AB22" i="1"/>
  <c r="AB24" i="1"/>
  <c r="AB23" i="1"/>
  <c r="O20" i="1"/>
  <c r="AB20" i="1" s="1"/>
  <c r="O19" i="1"/>
  <c r="AB19" i="1" s="1"/>
  <c r="O18" i="1"/>
  <c r="AB18" i="1" s="1"/>
  <c r="O16" i="1"/>
  <c r="AB16" i="1" s="1"/>
  <c r="AB15" i="1"/>
  <c r="AK56" i="1"/>
  <c r="AK55" i="1"/>
  <c r="AC32" i="1"/>
  <c r="AC31" i="1"/>
  <c r="AC30" i="1"/>
  <c r="AC5" i="1" l="1"/>
  <c r="AC53" i="1"/>
  <c r="AC12" i="1" s="1"/>
  <c r="C12" i="1"/>
  <c r="AP12" i="1" s="1"/>
  <c r="BC12" i="1" s="1"/>
  <c r="AB53" i="1"/>
  <c r="AB12" i="1" s="1"/>
  <c r="B12" i="1"/>
  <c r="AO12" i="1" s="1"/>
  <c r="BB12" i="1" s="1"/>
  <c r="AB49" i="1"/>
  <c r="AB11" i="1" s="1"/>
  <c r="B11" i="1"/>
  <c r="AO11" i="1" s="1"/>
  <c r="BB11" i="1" s="1"/>
  <c r="AB45" i="1"/>
  <c r="AB10" i="1" s="1"/>
  <c r="B10" i="1"/>
  <c r="AO10" i="1" s="1"/>
  <c r="BB10" i="1" s="1"/>
  <c r="AB41" i="1"/>
  <c r="AB9" i="1" s="1"/>
  <c r="B9" i="1"/>
  <c r="AO9" i="1" s="1"/>
  <c r="BB9" i="1" s="1"/>
  <c r="AC33" i="1"/>
  <c r="AC7" i="1" s="1"/>
  <c r="C7" i="1"/>
  <c r="AP7" i="1" s="1"/>
  <c r="BC7" i="1" s="1"/>
  <c r="AB37" i="1"/>
  <c r="AB8" i="1" s="1"/>
  <c r="B8" i="1"/>
  <c r="AO8" i="1" s="1"/>
  <c r="BB8" i="1" s="1"/>
  <c r="AB33" i="1"/>
  <c r="AB7" i="1" s="1"/>
  <c r="B7" i="1"/>
  <c r="AO7" i="1" s="1"/>
  <c r="BB7" i="1" s="1"/>
  <c r="AB29" i="1"/>
  <c r="AB6" i="1" s="1"/>
  <c r="B6" i="1"/>
  <c r="AO6" i="1" s="1"/>
  <c r="BB6" i="1" s="1"/>
  <c r="AK54" i="1"/>
  <c r="AK12" i="1" s="1"/>
  <c r="K12" i="1"/>
  <c r="AX12" i="1" s="1"/>
  <c r="BK12" i="1" s="1"/>
  <c r="AC29" i="1"/>
  <c r="AC6" i="1" s="1"/>
  <c r="C5" i="1"/>
  <c r="AP5" i="1" s="1"/>
  <c r="BC5" i="1" s="1"/>
  <c r="C6" i="1"/>
  <c r="AP6" i="1" s="1"/>
  <c r="BC6" i="1" s="1"/>
  <c r="AC21" i="1"/>
  <c r="AC4" i="1" s="1"/>
  <c r="C4" i="1"/>
  <c r="AP4" i="1" s="1"/>
  <c r="BC4" i="1" s="1"/>
  <c r="AB21" i="1"/>
  <c r="AB4" i="1" s="1"/>
  <c r="B4" i="1"/>
  <c r="AO4" i="1" s="1"/>
  <c r="BB4" i="1" s="1"/>
  <c r="AC17" i="1"/>
  <c r="AC3" i="1" s="1"/>
  <c r="C3" i="1"/>
  <c r="AP3" i="1" s="1"/>
  <c r="BC3" i="1" s="1"/>
  <c r="AB14" i="1"/>
  <c r="AB2" i="1" s="1"/>
  <c r="B2" i="1"/>
  <c r="AO2" i="1" s="1"/>
  <c r="BB2" i="1" s="1"/>
  <c r="AC13" i="1"/>
  <c r="AC2" i="1" s="1"/>
  <c r="C2" i="1"/>
  <c r="AP2" i="1" s="1"/>
  <c r="BC2" i="1" s="1"/>
  <c r="AB17" i="1"/>
  <c r="AB3" i="1" s="1"/>
  <c r="B3" i="1"/>
  <c r="AO3" i="1" s="1"/>
  <c r="BB3" i="1" s="1"/>
  <c r="BN12" i="1" l="1"/>
</calcChain>
</file>

<file path=xl/sharedStrings.xml><?xml version="1.0" encoding="utf-8"?>
<sst xmlns="http://schemas.openxmlformats.org/spreadsheetml/2006/main" count="58" uniqueCount="14">
  <si>
    <t>Uncertainty</t>
  </si>
  <si>
    <t>Actions</t>
  </si>
  <si>
    <t>Up</t>
  </si>
  <si>
    <t>Left</t>
  </si>
  <si>
    <t>Right</t>
  </si>
  <si>
    <t>Down</t>
  </si>
  <si>
    <t>^</t>
  </si>
  <si>
    <t>&lt;</t>
  </si>
  <si>
    <t>&gt;</t>
  </si>
  <si>
    <t>v</t>
  </si>
  <si>
    <t>Max A</t>
  </si>
  <si>
    <t>U</t>
  </si>
  <si>
    <t>Policy</t>
  </si>
  <si>
    <t>New 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</si>
</sst>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Fill="1"/>
    <xf numFmtId="0" fontId="0" fillId="4" borderId="0" xfId="0" applyFill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on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7" borderId="0" xfId="0" applyFill="1"/>
    <xf numFmtId="0" fontId="0" fillId="7" borderId="1" xfId="0" applyFill="1" applyBorder="1"/>
    <xf numFmtId="0" fontId="0" fillId="4" borderId="1" xfId="0" applyFill="1" applyBorder="1"/>
    <xf numFmtId="0" fontId="0" fillId="0" borderId="1" xfId="0" applyBorder="1"/>
    <xf numFmtId="0" fontId="0" fillId="4" borderId="2" xfId="0" applyFill="1" applyBorder="1"/>
    <xf numFmtId="2" fontId="0" fillId="0" borderId="0" xfId="0" applyNumberFormat="1"/>
    <xf numFmtId="0" fontId="0" fillId="8" borderId="1" xfId="0" applyFill="1" applyBorder="1"/>
    <xf numFmtId="2" fontId="0" fillId="3" borderId="0" xfId="0" applyNumberFormat="1" applyFill="1" applyAlignment="1">
      <alignment horizontal="center"/>
    </xf>
    <xf numFmtId="0" fontId="0" fillId="8" borderId="0" xfId="0" applyFill="1"/>
    <xf numFmtId="0" fontId="0" fillId="8" borderId="3" xfId="0" applyFill="1" applyBorder="1"/>
    <xf numFmtId="2" fontId="1" fillId="3" borderId="0" xfId="0" applyNumberFormat="1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45720</xdr:colOff>
      <xdr:row>15</xdr:row>
      <xdr:rowOff>15240</xdr:rowOff>
    </xdr:from>
    <xdr:to>
      <xdr:col>12</xdr:col>
      <xdr:colOff>251460</xdr:colOff>
      <xdr:row>21</xdr:row>
      <xdr:rowOff>53340</xdr:rowOff>
    </xdr:to>
    <xdr:sp macro="[0]!ClearToZero" textlink="">
      <xdr:nvSpPr>
        <xdr:cNvPr id="2" name="Rectangle 1"/>
        <xdr:cNvSpPr/>
      </xdr:nvSpPr>
      <xdr:spPr>
        <a:xfrm>
          <a:off x="3009900" y="3329940"/>
          <a:ext cx="1790700" cy="7696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>
              <a:latin typeface="Algerian" pitchFamily="82" charset="0"/>
              <a:cs typeface="Aharoni" pitchFamily="2" charset="-79"/>
            </a:rPr>
            <a:t>Clear</a:t>
          </a:r>
        </a:p>
        <a:p>
          <a:pPr algn="l"/>
          <a:endParaRPr lang="en-US" sz="3600">
            <a:latin typeface="Algerian" pitchFamily="82" charset="0"/>
            <a:cs typeface="Aharoni" pitchFamily="2" charset="-79"/>
          </a:endParaRPr>
        </a:p>
      </xdr:txBody>
    </xdr:sp>
    <xdr:clientData/>
  </xdr:twoCellAnchor>
  <xdr:twoCellAnchor>
    <xdr:from>
      <xdr:col>8</xdr:col>
      <xdr:colOff>38100</xdr:colOff>
      <xdr:row>22</xdr:row>
      <xdr:rowOff>45720</xdr:rowOff>
    </xdr:from>
    <xdr:to>
      <xdr:col>12</xdr:col>
      <xdr:colOff>251460</xdr:colOff>
      <xdr:row>28</xdr:row>
      <xdr:rowOff>91440</xdr:rowOff>
    </xdr:to>
    <xdr:sp macro="[0]!StepMDP" textlink="">
      <xdr:nvSpPr>
        <xdr:cNvPr id="3" name="Rectangle 2"/>
        <xdr:cNvSpPr/>
      </xdr:nvSpPr>
      <xdr:spPr>
        <a:xfrm>
          <a:off x="3002280" y="4213860"/>
          <a:ext cx="1798320" cy="7772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latin typeface="Algerian" pitchFamily="82" charset="0"/>
            </a:rPr>
            <a:t>step</a:t>
          </a:r>
        </a:p>
        <a:p>
          <a:pPr algn="ctr"/>
          <a:endParaRPr lang="en-US" sz="4000">
            <a:latin typeface="Algerian" pitchFamily="82" charset="0"/>
          </a:endParaRPr>
        </a:p>
      </xdr:txBody>
    </xdr:sp>
    <xdr:clientData/>
  </xdr:twoCellAnchor>
  <xdr:twoCellAnchor>
    <xdr:from>
      <xdr:col>8</xdr:col>
      <xdr:colOff>22860</xdr:colOff>
      <xdr:row>29</xdr:row>
      <xdr:rowOff>60960</xdr:rowOff>
    </xdr:from>
    <xdr:to>
      <xdr:col>12</xdr:col>
      <xdr:colOff>266700</xdr:colOff>
      <xdr:row>35</xdr:row>
      <xdr:rowOff>68580</xdr:rowOff>
    </xdr:to>
    <xdr:sp macro="[0]!RunMDP" textlink="">
      <xdr:nvSpPr>
        <xdr:cNvPr id="4" name="Rectangle 3"/>
        <xdr:cNvSpPr/>
      </xdr:nvSpPr>
      <xdr:spPr>
        <a:xfrm>
          <a:off x="2987040" y="5082540"/>
          <a:ext cx="1828800" cy="7391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>
              <a:latin typeface="Algerian" pitchFamily="82" charset="0"/>
            </a:rPr>
            <a:t>run</a:t>
          </a:r>
        </a:p>
        <a:p>
          <a:pPr algn="ctr"/>
          <a:endParaRPr lang="en-US" sz="3600">
            <a:latin typeface="Algerian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N71"/>
  <sheetViews>
    <sheetView tabSelected="1" workbookViewId="0">
      <selection activeCell="R3" sqref="R3"/>
    </sheetView>
  </sheetViews>
  <sheetFormatPr defaultRowHeight="14.4" x14ac:dyDescent="0.3"/>
  <cols>
    <col min="1" max="1" width="2.77734375" customWidth="1"/>
    <col min="2" max="13" width="5.77734375" customWidth="1"/>
    <col min="14" max="14" width="3.21875" customWidth="1"/>
    <col min="15" max="26" width="5.77734375" customWidth="1"/>
    <col min="28" max="39" width="5.77734375" customWidth="1"/>
    <col min="41" max="52" width="5.77734375" customWidth="1"/>
    <col min="54" max="65" width="5.77734375" customWidth="1"/>
  </cols>
  <sheetData>
    <row r="1" spans="2:66" x14ac:dyDescent="0.3">
      <c r="B1" s="20" t="s">
        <v>10</v>
      </c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O1" s="20" t="s">
        <v>11</v>
      </c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B1" s="20" t="s">
        <v>12</v>
      </c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O1" s="20" t="s">
        <v>13</v>
      </c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</row>
    <row r="2" spans="2:66" ht="19.95" customHeight="1" x14ac:dyDescent="0.3">
      <c r="B2" s="8">
        <f>MAX(O$13:O$16)</f>
        <v>0.82811728395061757</v>
      </c>
      <c r="C2" s="8">
        <f t="shared" ref="C2:M2" si="0">MAX(P$13:P$16)</f>
        <v>0.88367283950617304</v>
      </c>
      <c r="D2" s="8">
        <f t="shared" si="0"/>
        <v>0.94061728395061739</v>
      </c>
      <c r="E2" s="8">
        <f t="shared" si="0"/>
        <v>0.99061728395061732</v>
      </c>
      <c r="F2" s="8">
        <f t="shared" si="0"/>
        <v>0.94617283950617292</v>
      </c>
      <c r="G2" s="8">
        <f t="shared" si="0"/>
        <v>0.90172839506172842</v>
      </c>
      <c r="H2" s="8">
        <f t="shared" si="0"/>
        <v>0.89579198840930918</v>
      </c>
      <c r="I2" s="8">
        <f t="shared" si="0"/>
        <v>0.94562414266117978</v>
      </c>
      <c r="J2" s="8">
        <f t="shared" si="0"/>
        <v>0.99061728395061732</v>
      </c>
      <c r="K2" s="8">
        <f t="shared" si="0"/>
        <v>0.94617283950617292</v>
      </c>
      <c r="L2" s="8">
        <f t="shared" si="0"/>
        <v>0.90172839506172842</v>
      </c>
      <c r="M2" s="8">
        <f t="shared" si="0"/>
        <v>0.85728395061728391</v>
      </c>
      <c r="O2" s="8">
        <v>0.78811728395061753</v>
      </c>
      <c r="P2" s="8">
        <v>0.843672839506173</v>
      </c>
      <c r="Q2" s="8">
        <v>0.90061728395061735</v>
      </c>
      <c r="R2" s="8">
        <v>0.95061728395061729</v>
      </c>
      <c r="S2" s="8">
        <v>0.90617283950617289</v>
      </c>
      <c r="T2" s="8">
        <v>0.86172839506172838</v>
      </c>
      <c r="U2" s="8">
        <v>0.85579198840736193</v>
      </c>
      <c r="V2" s="8">
        <v>0.90562414266117974</v>
      </c>
      <c r="W2" s="8">
        <v>0.95061728395061729</v>
      </c>
      <c r="X2" s="8">
        <v>0.90617283950617289</v>
      </c>
      <c r="Y2" s="8">
        <v>0.86172839506172838</v>
      </c>
      <c r="Z2" s="8">
        <v>0.81728395061728387</v>
      </c>
      <c r="AB2" s="8" t="str">
        <f>IF(MAX(AB$13:AB$16)=AB$13,$N$13,IF(MAX(AB$13:AB$16)=AB$14,$N$14,IF(MAX(AB$13:AB$16)=AB$15,$N$15,$N$16)))</f>
        <v>&gt;</v>
      </c>
      <c r="AC2" s="8" t="str">
        <f t="shared" ref="AC2:AM2" si="1">IF(MAX(AC$13:AC$16)=AC$13,$N$13,IF(MAX(AC$13:AC$16)=AC$14,$N$14,IF(MAX(AC$13:AC$16)=AC$15,$N$15,$N$16)))</f>
        <v>&gt;</v>
      </c>
      <c r="AD2" s="8" t="str">
        <f t="shared" si="1"/>
        <v>&gt;</v>
      </c>
      <c r="AE2" s="8" t="str">
        <f t="shared" si="1"/>
        <v>v</v>
      </c>
      <c r="AF2" s="8" t="str">
        <f t="shared" si="1"/>
        <v>&lt;</v>
      </c>
      <c r="AG2" s="8" t="str">
        <f t="shared" si="1"/>
        <v>&lt;</v>
      </c>
      <c r="AH2" s="8" t="str">
        <f t="shared" si="1"/>
        <v>&gt;</v>
      </c>
      <c r="AI2" s="8" t="str">
        <f t="shared" si="1"/>
        <v>v</v>
      </c>
      <c r="AJ2" s="8" t="str">
        <f t="shared" si="1"/>
        <v>v</v>
      </c>
      <c r="AK2" s="8" t="str">
        <f t="shared" si="1"/>
        <v>&lt;</v>
      </c>
      <c r="AL2" s="8" t="str">
        <f t="shared" si="1"/>
        <v>&lt;</v>
      </c>
      <c r="AM2" s="8" t="str">
        <f t="shared" si="1"/>
        <v>&lt;</v>
      </c>
      <c r="AO2" s="8">
        <f>B2-0.04</f>
        <v>0.78811728395061753</v>
      </c>
      <c r="AP2" s="8">
        <f t="shared" ref="AP2:AP7" si="2">C2-0.04</f>
        <v>0.843672839506173</v>
      </c>
      <c r="AQ2" s="8">
        <f>D2-0.04</f>
        <v>0.90061728395061735</v>
      </c>
      <c r="AR2" s="8">
        <f t="shared" ref="AR2" si="3">E2-0.04</f>
        <v>0.95061728395061729</v>
      </c>
      <c r="AS2" s="8">
        <f t="shared" ref="AS2:AS3" si="4">F2-0.04</f>
        <v>0.90617283950617289</v>
      </c>
      <c r="AT2" s="8">
        <f t="shared" ref="AT2:AT3" si="5">G2-0.04</f>
        <v>0.86172839506172838</v>
      </c>
      <c r="AU2" s="8">
        <f t="shared" ref="AU2:AU3" si="6">H2-0.04</f>
        <v>0.85579198840930915</v>
      </c>
      <c r="AV2" s="8">
        <f t="shared" ref="AV2:AV3" si="7">I2-0.04</f>
        <v>0.90562414266117974</v>
      </c>
      <c r="AW2" s="8">
        <f t="shared" ref="AW2" si="8">J2-0.04</f>
        <v>0.95061728395061729</v>
      </c>
      <c r="AX2" s="8">
        <f t="shared" ref="AX2:AY6" si="9">K2-0.04</f>
        <v>0.90617283950617289</v>
      </c>
      <c r="AY2" s="8">
        <f t="shared" si="9"/>
        <v>0.86172839506172838</v>
      </c>
      <c r="AZ2" s="8">
        <f t="shared" ref="AZ2:AZ10" si="10">M2-0.04</f>
        <v>0.81728395061728387</v>
      </c>
      <c r="BB2" s="8">
        <f>ROUNDDOWN(100*(AO2-O2),0)</f>
        <v>0</v>
      </c>
      <c r="BC2" s="8">
        <f t="shared" ref="BC2:BC12" si="11">ROUNDDOWN(100*(AP2-P2),0)</f>
        <v>0</v>
      </c>
      <c r="BD2" s="8">
        <f t="shared" ref="BD2:BD12" si="12">ROUNDDOWN(100*(AQ2-Q2),0)</f>
        <v>0</v>
      </c>
      <c r="BE2" s="8">
        <f t="shared" ref="BE2:BE12" si="13">ROUNDDOWN(100*(AR2-R2),0)</f>
        <v>0</v>
      </c>
      <c r="BF2" s="8">
        <f t="shared" ref="BF2:BF12" si="14">ROUNDDOWN(100*(AS2-S2),0)</f>
        <v>0</v>
      </c>
      <c r="BG2" s="8">
        <f t="shared" ref="BG2:BG12" si="15">ROUNDDOWN(100*(AT2-T2),0)</f>
        <v>0</v>
      </c>
      <c r="BH2" s="8">
        <f t="shared" ref="BH2:BH12" si="16">ROUNDDOWN(100*(AU2-U2),0)</f>
        <v>0</v>
      </c>
      <c r="BI2" s="8">
        <f t="shared" ref="BI2:BI12" si="17">ROUNDDOWN(100*(AV2-V2),0)</f>
        <v>0</v>
      </c>
      <c r="BJ2" s="8">
        <f t="shared" ref="BJ2:BJ12" si="18">ROUNDDOWN(100*(AW2-W2),0)</f>
        <v>0</v>
      </c>
      <c r="BK2" s="8">
        <f t="shared" ref="BK2:BK12" si="19">ROUNDDOWN(100*(AX2-X2),0)</f>
        <v>0</v>
      </c>
      <c r="BL2" s="8">
        <f t="shared" ref="BL2:BL12" si="20">ROUNDDOWN(100*(AY2-Y2),0)</f>
        <v>0</v>
      </c>
      <c r="BM2" s="8">
        <f t="shared" ref="BM2:BM12" si="21">ROUNDDOWN(100*(AZ2-Z2),0)</f>
        <v>0</v>
      </c>
    </row>
    <row r="3" spans="2:66" ht="19.95" customHeight="1" x14ac:dyDescent="0.3">
      <c r="B3" s="8">
        <f>MAX(O$17:O$20)</f>
        <v>0.78367283950617317</v>
      </c>
      <c r="C3" s="8">
        <f>MAX(P$17:P$20)</f>
        <v>0.82811728395061757</v>
      </c>
      <c r="D3" s="4"/>
      <c r="E3" s="5">
        <v>1</v>
      </c>
      <c r="F3" s="8">
        <f t="shared" ref="F3:I3" si="22">MAX(S$17:S$20)</f>
        <v>0.99061728395061732</v>
      </c>
      <c r="G3" s="8">
        <f t="shared" si="22"/>
        <v>0.94172839506172845</v>
      </c>
      <c r="H3" s="8">
        <f t="shared" si="22"/>
        <v>0.89713475439629176</v>
      </c>
      <c r="I3" s="8">
        <f t="shared" si="22"/>
        <v>0.98506934918457556</v>
      </c>
      <c r="J3" s="5">
        <v>1</v>
      </c>
      <c r="K3" s="4"/>
      <c r="L3" s="8">
        <f t="shared" ref="L3:M3" si="23">MAX(Y$17:Y$20)</f>
        <v>0.84728395061191841</v>
      </c>
      <c r="M3" s="8">
        <f t="shared" si="23"/>
        <v>0.81172839505636285</v>
      </c>
      <c r="O3" s="8">
        <v>0.74367283950617313</v>
      </c>
      <c r="P3" s="8">
        <v>0.78811728395061753</v>
      </c>
      <c r="Q3" s="4"/>
      <c r="R3" s="5">
        <v>1</v>
      </c>
      <c r="S3" s="8">
        <v>0.95061728395061729</v>
      </c>
      <c r="T3" s="8">
        <v>0.90172839506172842</v>
      </c>
      <c r="U3" s="8">
        <v>0.85713475439629172</v>
      </c>
      <c r="V3" s="8">
        <v>0.94506934918457552</v>
      </c>
      <c r="W3" s="5">
        <v>1</v>
      </c>
      <c r="X3" s="4"/>
      <c r="Y3" s="8">
        <v>0.80728395058945956</v>
      </c>
      <c r="Z3" s="8">
        <v>0.77172839503589619</v>
      </c>
      <c r="AB3" s="8" t="str">
        <f>IF(MAX(AB$17:AB$20)=AB$17,$N$13,IF(MAX(AB$17:AB$20)=AB$18,$N$14,IF(MAX(AB$17:AB$20)=AB$19,$N$15,$N$16)))</f>
        <v>^</v>
      </c>
      <c r="AC3" s="8" t="str">
        <f>IF(MAX(AC$17:AC$20)=AC$17,$N$13,IF(MAX(AC$17:AC$20)=AC$18,$N$14,IF(MAX(AC$17:AC$20)=AC$19,$N$15,$N$16)))</f>
        <v>^</v>
      </c>
      <c r="AD3" s="4"/>
      <c r="AE3" s="5">
        <v>1</v>
      </c>
      <c r="AF3" s="8" t="str">
        <f t="shared" ref="AF3:AI3" si="24">IF(MAX(AF$17:AF$20)=AF$17,$N$13,IF(MAX(AF$17:AF$20)=AF$18,$N$14,IF(MAX(AF$17:AF$20)=AF$19,$N$15,$N$16)))</f>
        <v>&lt;</v>
      </c>
      <c r="AG3" s="8" t="str">
        <f t="shared" si="24"/>
        <v>&lt;</v>
      </c>
      <c r="AH3" s="8" t="str">
        <f t="shared" si="24"/>
        <v>&lt;</v>
      </c>
      <c r="AI3" s="8" t="str">
        <f t="shared" si="24"/>
        <v>&gt;</v>
      </c>
      <c r="AJ3" s="5">
        <v>1</v>
      </c>
      <c r="AK3" s="4"/>
      <c r="AL3" s="8" t="str">
        <f t="shared" ref="AL3:AM3" si="25">IF(MAX(AL$17:AL$20)=AL$17,$N$13,IF(MAX(AL$17:AL$20)=AL$18,$N$14,IF(MAX(AL$17:AL$20)=AL$19,$N$15,$N$16)))</f>
        <v>^</v>
      </c>
      <c r="AM3" s="8" t="str">
        <f t="shared" si="25"/>
        <v>^</v>
      </c>
      <c r="AO3" s="8">
        <f t="shared" ref="AO3:AO12" si="26">B3-0.04</f>
        <v>0.74367283950617313</v>
      </c>
      <c r="AP3" s="8">
        <f t="shared" si="2"/>
        <v>0.78811728395061753</v>
      </c>
      <c r="AQ3" s="4"/>
      <c r="AR3" s="5">
        <v>1</v>
      </c>
      <c r="AS3" s="8">
        <f t="shared" si="4"/>
        <v>0.95061728395061729</v>
      </c>
      <c r="AT3" s="8">
        <f t="shared" si="5"/>
        <v>0.90172839506172842</v>
      </c>
      <c r="AU3" s="8">
        <f t="shared" si="6"/>
        <v>0.85713475439629172</v>
      </c>
      <c r="AV3" s="8">
        <f t="shared" si="7"/>
        <v>0.94506934918457552</v>
      </c>
      <c r="AW3" s="5">
        <v>1</v>
      </c>
      <c r="AX3" s="4"/>
      <c r="AY3" s="8">
        <f t="shared" si="9"/>
        <v>0.80728395061191838</v>
      </c>
      <c r="AZ3" s="8">
        <f t="shared" si="10"/>
        <v>0.77172839505636281</v>
      </c>
      <c r="BB3" s="8">
        <f t="shared" ref="BB3:BB12" si="27">ROUNDDOWN(100*(AO3-O3),0)</f>
        <v>0</v>
      </c>
      <c r="BC3" s="8">
        <f t="shared" si="11"/>
        <v>0</v>
      </c>
      <c r="BD3" s="8">
        <f t="shared" si="12"/>
        <v>0</v>
      </c>
      <c r="BE3" s="8">
        <f t="shared" si="13"/>
        <v>0</v>
      </c>
      <c r="BF3" s="8">
        <f t="shared" si="14"/>
        <v>0</v>
      </c>
      <c r="BG3" s="8">
        <f t="shared" si="15"/>
        <v>0</v>
      </c>
      <c r="BH3" s="8">
        <f t="shared" si="16"/>
        <v>0</v>
      </c>
      <c r="BI3" s="8">
        <f t="shared" si="17"/>
        <v>0</v>
      </c>
      <c r="BJ3" s="8">
        <f t="shared" si="18"/>
        <v>0</v>
      </c>
      <c r="BK3" s="8">
        <f t="shared" si="19"/>
        <v>0</v>
      </c>
      <c r="BL3" s="8">
        <f t="shared" si="20"/>
        <v>0</v>
      </c>
      <c r="BM3" s="8">
        <f t="shared" si="21"/>
        <v>0</v>
      </c>
    </row>
    <row r="4" spans="2:66" ht="19.95" customHeight="1" x14ac:dyDescent="0.3">
      <c r="B4" s="8">
        <f>MAX(O$21:O$24)</f>
        <v>0.73756172839506196</v>
      </c>
      <c r="C4" s="8">
        <f t="shared" ref="C4:D4" si="28">MAX(P$21:P$24)</f>
        <v>0.76867283950617316</v>
      </c>
      <c r="D4" s="8">
        <f t="shared" si="28"/>
        <v>0.72422839506172876</v>
      </c>
      <c r="E4" s="4"/>
      <c r="F4" s="4"/>
      <c r="G4" s="6">
        <v>-1</v>
      </c>
      <c r="H4" s="6">
        <v>-1</v>
      </c>
      <c r="I4" s="4"/>
      <c r="J4" s="4"/>
      <c r="K4" s="8">
        <f t="shared" ref="K4:M4" si="29">MAX(X$21:X$24)</f>
        <v>0.73701294631586622</v>
      </c>
      <c r="L4" s="8">
        <f t="shared" si="29"/>
        <v>0.78886178790289441</v>
      </c>
      <c r="M4" s="8">
        <f t="shared" si="29"/>
        <v>0.77333333333332444</v>
      </c>
      <c r="O4" s="8">
        <v>0.69756172839506192</v>
      </c>
      <c r="P4" s="8">
        <v>0.72867283950617312</v>
      </c>
      <c r="Q4" s="8">
        <v>0.6842283950617285</v>
      </c>
      <c r="R4" s="4"/>
      <c r="S4" s="4"/>
      <c r="T4" s="6">
        <v>-1</v>
      </c>
      <c r="U4" s="6">
        <v>-1</v>
      </c>
      <c r="V4" s="4"/>
      <c r="W4" s="4"/>
      <c r="X4" s="8">
        <v>0.6970129409800212</v>
      </c>
      <c r="Y4" s="8">
        <v>0.74886178772758438</v>
      </c>
      <c r="Z4" s="8">
        <v>0.73333333333324591</v>
      </c>
      <c r="AB4" s="8" t="str">
        <f>IF(MAX(AB$21:AB$24)=AB$21,$N$13,IF(MAX(AB$21:AB$24)=AB$22,$N$14,IF(MAX(AB$21:AB$24)=AB$23,$N$15,$N$16)))</f>
        <v>^</v>
      </c>
      <c r="AC4" s="8" t="str">
        <f t="shared" ref="AC4:AD4" si="30">IF(MAX(AC$21:AC$24)=AC$21,$N$13,IF(MAX(AC$21:AC$24)=AC$22,$N$14,IF(MAX(AC$21:AC$24)=AC$23,$N$15,$N$16)))</f>
        <v>^</v>
      </c>
      <c r="AD4" s="8" t="str">
        <f t="shared" si="30"/>
        <v>&lt;</v>
      </c>
      <c r="AE4" s="4"/>
      <c r="AF4" s="4"/>
      <c r="AG4" s="6">
        <v>-1</v>
      </c>
      <c r="AH4" s="6">
        <v>-1</v>
      </c>
      <c r="AI4" s="4"/>
      <c r="AJ4" s="4"/>
      <c r="AK4" s="8" t="str">
        <f t="shared" ref="AK4:AM4" si="31">IF(MAX(AK$21:AK$24)=AK$21,$N$13,IF(MAX(AK$21:AK$24)=AK$22,$N$14,IF(MAX(AK$21:AK$24)=AK$23,$N$15,$N$16)))</f>
        <v>&gt;</v>
      </c>
      <c r="AL4" s="8" t="str">
        <f t="shared" si="31"/>
        <v>^</v>
      </c>
      <c r="AM4" s="8" t="str">
        <f t="shared" si="31"/>
        <v>v</v>
      </c>
      <c r="AO4" s="8">
        <f t="shared" si="26"/>
        <v>0.69756172839506192</v>
      </c>
      <c r="AP4" s="8">
        <f t="shared" si="2"/>
        <v>0.72867283950617312</v>
      </c>
      <c r="AQ4" s="8">
        <f t="shared" ref="AQ4:AQ6" si="32">D4-0.04</f>
        <v>0.68422839506172872</v>
      </c>
      <c r="AR4" s="4"/>
      <c r="AS4" s="4"/>
      <c r="AT4" s="6">
        <v>-1</v>
      </c>
      <c r="AU4" s="6">
        <v>-1</v>
      </c>
      <c r="AV4" s="4"/>
      <c r="AW4" s="4"/>
      <c r="AX4" s="8">
        <f t="shared" ref="AX4:AX6" si="33">K4-0.04</f>
        <v>0.69701294631586619</v>
      </c>
      <c r="AY4" s="8">
        <f t="shared" si="9"/>
        <v>0.74886178790289437</v>
      </c>
      <c r="AZ4" s="8">
        <f t="shared" si="10"/>
        <v>0.7333333333333244</v>
      </c>
      <c r="BB4" s="8">
        <f t="shared" si="27"/>
        <v>0</v>
      </c>
      <c r="BC4" s="8">
        <f t="shared" si="11"/>
        <v>0</v>
      </c>
      <c r="BD4" s="8">
        <f t="shared" si="12"/>
        <v>0</v>
      </c>
      <c r="BE4" s="8">
        <f t="shared" si="13"/>
        <v>0</v>
      </c>
      <c r="BF4" s="8">
        <f t="shared" si="14"/>
        <v>0</v>
      </c>
      <c r="BG4" s="8">
        <f t="shared" si="15"/>
        <v>0</v>
      </c>
      <c r="BH4" s="8">
        <f t="shared" si="16"/>
        <v>0</v>
      </c>
      <c r="BI4" s="8">
        <f t="shared" si="17"/>
        <v>0</v>
      </c>
      <c r="BJ4" s="8">
        <f t="shared" si="18"/>
        <v>0</v>
      </c>
      <c r="BK4" s="8">
        <f t="shared" si="19"/>
        <v>0</v>
      </c>
      <c r="BL4" s="8">
        <f t="shared" si="20"/>
        <v>0</v>
      </c>
      <c r="BM4" s="8">
        <f t="shared" si="21"/>
        <v>0</v>
      </c>
    </row>
    <row r="5" spans="2:66" ht="19.95" customHeight="1" x14ac:dyDescent="0.3">
      <c r="B5" s="16">
        <f>MAX(O$29:O$32)</f>
        <v>0.48782056958258174</v>
      </c>
      <c r="C5" s="8">
        <f t="shared" ref="C5:D6" si="34">MAX(P$29:P$32)</f>
        <v>1.4665091426703119E-2</v>
      </c>
      <c r="D5" s="8">
        <f t="shared" si="34"/>
        <v>-3.3698274922371763E-2</v>
      </c>
      <c r="E5" s="6">
        <v>-1</v>
      </c>
      <c r="F5" s="4"/>
      <c r="G5" s="4"/>
      <c r="H5" s="4"/>
      <c r="I5" s="4"/>
      <c r="J5" s="6">
        <v>-1</v>
      </c>
      <c r="K5" s="8">
        <f t="shared" ref="K5:M6" si="35">MAX(X$29:X$32)</f>
        <v>0.72222222201343733</v>
      </c>
      <c r="L5" s="8">
        <f t="shared" si="35"/>
        <v>0.77222222222222203</v>
      </c>
      <c r="M5" s="8">
        <f t="shared" si="35"/>
        <v>0.8177777777777776</v>
      </c>
      <c r="O5" s="19">
        <v>0</v>
      </c>
      <c r="P5" s="8">
        <v>-2.8379665412153983E-2</v>
      </c>
      <c r="Q5" s="8">
        <v>-8.1565760514331759E-2</v>
      </c>
      <c r="R5" s="6">
        <v>-1</v>
      </c>
      <c r="S5" s="4"/>
      <c r="T5" s="4"/>
      <c r="U5" s="4"/>
      <c r="V5" s="4"/>
      <c r="W5" s="6">
        <v>-1</v>
      </c>
      <c r="X5" s="8">
        <v>0.68222222035796642</v>
      </c>
      <c r="Y5" s="8">
        <v>0.732222222222222</v>
      </c>
      <c r="Z5" s="8">
        <v>0.77777777777777757</v>
      </c>
      <c r="AB5" s="16">
        <v>0</v>
      </c>
      <c r="AC5" s="8" t="str">
        <f t="shared" ref="AC5:AD5" si="36">IF(MAX(AC$25:AC$28)=AC$25,$N$13,IF(MAX(AC$25:AC$28)=AC$26,$N$14,IF(MAX(AC$25:AC$28)=AC$27,$N$15,$N$16)))</f>
        <v>^</v>
      </c>
      <c r="AD5" s="8" t="str">
        <f t="shared" si="36"/>
        <v>^</v>
      </c>
      <c r="AE5" s="6">
        <v>-1</v>
      </c>
      <c r="AF5" s="4"/>
      <c r="AG5" s="4"/>
      <c r="AH5" s="4"/>
      <c r="AI5" s="4"/>
      <c r="AJ5" s="6">
        <v>-1</v>
      </c>
      <c r="AK5" s="8" t="str">
        <f t="shared" ref="AK5:AM5" si="37">IF(MAX(AK$25:AK$28)=AK$25,$N$13,IF(MAX(AK$25:AK$28)=AK$26,$N$14,IF(MAX(AK$25:AK$28)=AK$27,$N$15,$N$16)))</f>
        <v>&gt;</v>
      </c>
      <c r="AL5" s="8" t="str">
        <f t="shared" si="37"/>
        <v>&gt;</v>
      </c>
      <c r="AM5" s="8" t="str">
        <f t="shared" si="37"/>
        <v>v</v>
      </c>
      <c r="AO5" s="16">
        <v>0</v>
      </c>
      <c r="AP5" s="8">
        <f t="shared" si="2"/>
        <v>-2.5334908573296882E-2</v>
      </c>
      <c r="AQ5" s="8">
        <f t="shared" si="32"/>
        <v>-7.369827492237177E-2</v>
      </c>
      <c r="AR5" s="6">
        <v>-1</v>
      </c>
      <c r="AS5" s="4"/>
      <c r="AT5" s="4"/>
      <c r="AU5" s="4"/>
      <c r="AV5" s="4"/>
      <c r="AW5" s="6">
        <v>-1</v>
      </c>
      <c r="AX5" s="8">
        <f t="shared" si="33"/>
        <v>0.6822222220134373</v>
      </c>
      <c r="AY5" s="8">
        <f t="shared" si="9"/>
        <v>0.732222222222222</v>
      </c>
      <c r="AZ5" s="8">
        <f t="shared" si="10"/>
        <v>0.77777777777777757</v>
      </c>
      <c r="BB5" s="8">
        <f t="shared" si="27"/>
        <v>0</v>
      </c>
      <c r="BC5" s="8">
        <f t="shared" si="11"/>
        <v>0</v>
      </c>
      <c r="BD5" s="8">
        <f t="shared" si="12"/>
        <v>0</v>
      </c>
      <c r="BE5" s="8">
        <f t="shared" si="13"/>
        <v>0</v>
      </c>
      <c r="BF5" s="8">
        <f t="shared" si="14"/>
        <v>0</v>
      </c>
      <c r="BG5" s="8">
        <f t="shared" si="15"/>
        <v>0</v>
      </c>
      <c r="BH5" s="8">
        <f t="shared" si="16"/>
        <v>0</v>
      </c>
      <c r="BI5" s="8">
        <f t="shared" si="17"/>
        <v>0</v>
      </c>
      <c r="BJ5" s="8">
        <f t="shared" si="18"/>
        <v>0</v>
      </c>
      <c r="BK5" s="8">
        <f t="shared" si="19"/>
        <v>0</v>
      </c>
      <c r="BL5" s="8">
        <f t="shared" si="20"/>
        <v>0</v>
      </c>
      <c r="BM5" s="8">
        <f t="shared" si="21"/>
        <v>0</v>
      </c>
    </row>
    <row r="6" spans="2:66" ht="19.95" customHeight="1" x14ac:dyDescent="0.3">
      <c r="B6" s="8">
        <f>MAX(O$29:O$32)</f>
        <v>0.48782056958258174</v>
      </c>
      <c r="C6" s="8">
        <f t="shared" si="34"/>
        <v>1.4665091426703119E-2</v>
      </c>
      <c r="D6" s="8">
        <f t="shared" si="34"/>
        <v>-3.3698274922371763E-2</v>
      </c>
      <c r="E6" s="4"/>
      <c r="F6" s="4"/>
      <c r="G6" s="4"/>
      <c r="H6" s="4"/>
      <c r="I6" s="4"/>
      <c r="J6" s="4"/>
      <c r="K6" s="8">
        <f t="shared" si="35"/>
        <v>0.72222222201343733</v>
      </c>
      <c r="L6" s="8">
        <f t="shared" si="35"/>
        <v>0.77222222222222203</v>
      </c>
      <c r="M6" s="8">
        <f t="shared" si="35"/>
        <v>0.8177777777777776</v>
      </c>
      <c r="O6" s="8">
        <v>0.4473865124866348</v>
      </c>
      <c r="P6" s="8">
        <v>-2.8379665412153983E-2</v>
      </c>
      <c r="Q6" s="8">
        <v>-7.369827492237177E-2</v>
      </c>
      <c r="R6" s="4"/>
      <c r="S6" s="4"/>
      <c r="T6" s="4"/>
      <c r="U6" s="4"/>
      <c r="V6" s="4"/>
      <c r="W6" s="4"/>
      <c r="X6" s="8">
        <v>0.68222222199863081</v>
      </c>
      <c r="Y6" s="8">
        <v>0.732222222222222</v>
      </c>
      <c r="Z6" s="8">
        <v>0.77777777777777757</v>
      </c>
      <c r="AB6" s="8" t="str">
        <f>IF(MAX(AB$29:AB$32)=AB$29,$N$13,IF(MAX(AB$29:AB$32)=AB$30,$N$14,IF(MAX(AB$29:AB$32)=AB$31,$N$15,$N$16)))</f>
        <v>v</v>
      </c>
      <c r="AC6" s="8" t="str">
        <f t="shared" ref="AC6:AD6" si="38">IF(MAX(AC$29:AC$32)=AC$29,$N$13,IF(MAX(AC$29:AC$32)=AC$30,$N$14,IF(MAX(AC$29:AC$32)=AC$31,$N$15,$N$16)))</f>
        <v>^</v>
      </c>
      <c r="AD6" s="8" t="str">
        <f t="shared" si="38"/>
        <v>&lt;</v>
      </c>
      <c r="AE6" s="4"/>
      <c r="AF6" s="4"/>
      <c r="AG6" s="4"/>
      <c r="AH6" s="4"/>
      <c r="AI6" s="4"/>
      <c r="AJ6" s="4"/>
      <c r="AK6" s="8" t="str">
        <f t="shared" ref="AK6:AM6" si="39">IF(MAX(AK$29:AK$32)=AK$29,$N$13,IF(MAX(AK$29:AK$32)=AK$30,$N$14,IF(MAX(AK$29:AK$32)=AK$31,$N$15,$N$16)))</f>
        <v>&gt;</v>
      </c>
      <c r="AL6" s="8" t="str">
        <f t="shared" si="39"/>
        <v>&gt;</v>
      </c>
      <c r="AM6" s="8" t="str">
        <f t="shared" si="39"/>
        <v>v</v>
      </c>
      <c r="AO6" s="8">
        <f t="shared" si="26"/>
        <v>0.44782056958258176</v>
      </c>
      <c r="AP6" s="8">
        <f t="shared" si="2"/>
        <v>-2.5334908573296882E-2</v>
      </c>
      <c r="AQ6" s="8">
        <f t="shared" si="32"/>
        <v>-7.369827492237177E-2</v>
      </c>
      <c r="AR6" s="4"/>
      <c r="AS6" s="4"/>
      <c r="AT6" s="4"/>
      <c r="AU6" s="4"/>
      <c r="AV6" s="4"/>
      <c r="AW6" s="4"/>
      <c r="AX6" s="8">
        <f t="shared" si="33"/>
        <v>0.6822222220134373</v>
      </c>
      <c r="AY6" s="8">
        <f t="shared" si="9"/>
        <v>0.732222222222222</v>
      </c>
      <c r="AZ6" s="8">
        <f t="shared" si="10"/>
        <v>0.77777777777777757</v>
      </c>
      <c r="BB6" s="8">
        <f t="shared" si="27"/>
        <v>0</v>
      </c>
      <c r="BC6" s="8">
        <f t="shared" si="11"/>
        <v>0</v>
      </c>
      <c r="BD6" s="8">
        <f t="shared" si="12"/>
        <v>0</v>
      </c>
      <c r="BE6" s="8">
        <f t="shared" si="13"/>
        <v>0</v>
      </c>
      <c r="BF6" s="8">
        <f t="shared" si="14"/>
        <v>0</v>
      </c>
      <c r="BG6" s="8">
        <f t="shared" si="15"/>
        <v>0</v>
      </c>
      <c r="BH6" s="8">
        <f t="shared" si="16"/>
        <v>0</v>
      </c>
      <c r="BI6" s="8">
        <f t="shared" si="17"/>
        <v>0</v>
      </c>
      <c r="BJ6" s="8">
        <f t="shared" si="18"/>
        <v>0</v>
      </c>
      <c r="BK6" s="8">
        <f t="shared" si="19"/>
        <v>0</v>
      </c>
      <c r="BL6" s="8">
        <f t="shared" si="20"/>
        <v>0</v>
      </c>
      <c r="BM6" s="8">
        <f t="shared" si="21"/>
        <v>0</v>
      </c>
    </row>
    <row r="7" spans="2:66" ht="19.95" customHeight="1" x14ac:dyDescent="0.3">
      <c r="B7" s="8">
        <f t="shared" ref="B7:C7" si="40">MAX(O$33:O$36)</f>
        <v>0.58517615124866351</v>
      </c>
      <c r="C7" s="8">
        <f t="shared" si="40"/>
        <v>0.48782056958258174</v>
      </c>
      <c r="D7" s="4"/>
      <c r="E7" s="4"/>
      <c r="F7" s="3"/>
      <c r="G7" s="4"/>
      <c r="H7" s="4"/>
      <c r="I7" s="3"/>
      <c r="J7" s="4"/>
      <c r="K7" s="4"/>
      <c r="L7" s="8">
        <f t="shared" ref="L7" si="41">MAX(Y$33:Y$36)</f>
        <v>0.80777777777777759</v>
      </c>
      <c r="M7" s="8">
        <f t="shared" ref="M7" si="42">MAX(Z$33:Z$36)</f>
        <v>0.86222222222222211</v>
      </c>
      <c r="O7" s="8">
        <v>0.54517615124866348</v>
      </c>
      <c r="P7" s="8">
        <v>0.4473865124866348</v>
      </c>
      <c r="Q7" s="4"/>
      <c r="R7" s="4"/>
      <c r="S7" s="3"/>
      <c r="T7" s="4"/>
      <c r="U7" s="4"/>
      <c r="V7" s="3"/>
      <c r="W7" s="4"/>
      <c r="X7" s="4"/>
      <c r="Y7" s="8">
        <v>0.76777777777777756</v>
      </c>
      <c r="Z7" s="8">
        <v>0.82222222222222208</v>
      </c>
      <c r="AB7" s="8" t="str">
        <f>IF(MAX(AB$33:AB$36)=AB$33,$N$13,IF(MAX(AB$33:AB$36)=AB$34,$N$14,IF(MAX(AB$33:AB$36)=AB$35,$N$15,$N$16)))</f>
        <v>v</v>
      </c>
      <c r="AC7" s="8" t="str">
        <f>IF(MAX(AC$33:AC$36)=AC$33,$N$13,IF(MAX(AC$33:AC$36)=AC$34,$N$14,IF(MAX(AC$33:AC$36)=AC$35,$N$15,$N$16)))</f>
        <v>&lt;</v>
      </c>
      <c r="AD7" s="4"/>
      <c r="AE7" s="4"/>
      <c r="AF7" s="3"/>
      <c r="AG7" s="4"/>
      <c r="AH7" s="4"/>
      <c r="AI7" s="3"/>
      <c r="AJ7" s="4"/>
      <c r="AK7" s="4"/>
      <c r="AL7" s="8" t="str">
        <f t="shared" ref="AL7:AM7" si="43">IF(MAX(AL$33:AL$36)=AL$33,$N$13,IF(MAX(AL$33:AL$36)=AL$34,$N$14,IF(MAX(AL$33:AL$36)=AL$35,$N$15,$N$16)))</f>
        <v>&gt;</v>
      </c>
      <c r="AM7" s="8" t="str">
        <f t="shared" si="43"/>
        <v>v</v>
      </c>
      <c r="AO7" s="8">
        <f t="shared" si="26"/>
        <v>0.54517615124866348</v>
      </c>
      <c r="AP7" s="8">
        <f t="shared" si="2"/>
        <v>0.44782056958258176</v>
      </c>
      <c r="AQ7" s="4"/>
      <c r="AR7" s="4"/>
      <c r="AS7" s="3"/>
      <c r="AT7" s="4"/>
      <c r="AU7" s="4"/>
      <c r="AV7" s="3"/>
      <c r="AW7" s="4"/>
      <c r="AX7" s="4"/>
      <c r="AY7" s="8">
        <f>L7-0.04</f>
        <v>0.76777777777777756</v>
      </c>
      <c r="AZ7" s="8">
        <f t="shared" si="10"/>
        <v>0.82222222222222208</v>
      </c>
      <c r="BB7" s="8">
        <f t="shared" si="27"/>
        <v>0</v>
      </c>
      <c r="BC7" s="8">
        <f t="shared" si="11"/>
        <v>0</v>
      </c>
      <c r="BD7" s="8">
        <f t="shared" si="12"/>
        <v>0</v>
      </c>
      <c r="BE7" s="8">
        <f t="shared" si="13"/>
        <v>0</v>
      </c>
      <c r="BF7" s="8">
        <f t="shared" si="14"/>
        <v>0</v>
      </c>
      <c r="BG7" s="8">
        <f t="shared" si="15"/>
        <v>0</v>
      </c>
      <c r="BH7" s="8">
        <f t="shared" si="16"/>
        <v>0</v>
      </c>
      <c r="BI7" s="8">
        <f t="shared" si="17"/>
        <v>0</v>
      </c>
      <c r="BJ7" s="8">
        <f t="shared" si="18"/>
        <v>0</v>
      </c>
      <c r="BK7" s="8">
        <f t="shared" si="19"/>
        <v>0</v>
      </c>
      <c r="BL7" s="8">
        <f t="shared" si="20"/>
        <v>0</v>
      </c>
      <c r="BM7" s="8">
        <f t="shared" si="21"/>
        <v>0</v>
      </c>
    </row>
    <row r="8" spans="2:66" ht="19.95" customHeight="1" x14ac:dyDescent="0.3">
      <c r="B8" s="8">
        <f>MAX(O$37:O$40)</f>
        <v>0.64048611111111109</v>
      </c>
      <c r="C8" s="4"/>
      <c r="D8" s="4"/>
      <c r="E8" s="4"/>
      <c r="F8" s="4"/>
      <c r="G8" s="4"/>
      <c r="H8" s="4"/>
      <c r="I8" s="4"/>
      <c r="J8" s="4"/>
      <c r="K8" s="4"/>
      <c r="L8" s="4"/>
      <c r="M8" s="8">
        <f>MAX(Z$37:Z$40)</f>
        <v>0.90666666666666662</v>
      </c>
      <c r="O8" s="8">
        <v>0.60048611111111105</v>
      </c>
      <c r="P8" s="4"/>
      <c r="Q8" s="4"/>
      <c r="R8" s="4"/>
      <c r="S8" s="4"/>
      <c r="T8" s="4"/>
      <c r="U8" s="4"/>
      <c r="V8" s="4"/>
      <c r="W8" s="4"/>
      <c r="X8" s="4"/>
      <c r="Y8" s="4"/>
      <c r="Z8" s="8">
        <v>0.86666666666666659</v>
      </c>
      <c r="AB8" s="8" t="str">
        <f>IF(MAX(AB$37:AB$40)=AB$37,$N$13,IF(MAX(AB$37:AB$40)=AB$38,$N$14,IF(MAX(AB$37:AB$40)=AB$39,$N$15,$N$16)))</f>
        <v>v</v>
      </c>
      <c r="AC8" s="4"/>
      <c r="AD8" s="4"/>
      <c r="AE8" s="4"/>
      <c r="AF8" s="4"/>
      <c r="AG8" s="4"/>
      <c r="AH8" s="4"/>
      <c r="AI8" s="4"/>
      <c r="AJ8" s="4"/>
      <c r="AK8" s="4"/>
      <c r="AL8" s="4"/>
      <c r="AM8" s="8" t="str">
        <f>IF(MAX(AM$37:AM$40)=AM$37,$N$13,IF(MAX(AM$37:AM$40)=AM$38,$N$14,IF(MAX(AM$37:AM$40)=AM$39,$N$15,$N$16)))</f>
        <v>v</v>
      </c>
      <c r="AO8" s="8">
        <f t="shared" si="26"/>
        <v>0.60048611111111105</v>
      </c>
      <c r="AP8" s="4"/>
      <c r="AQ8" s="4"/>
      <c r="AR8" s="4"/>
      <c r="AS8" s="4"/>
      <c r="AT8" s="4"/>
      <c r="AU8" s="4"/>
      <c r="AV8" s="4"/>
      <c r="AW8" s="4"/>
      <c r="AX8" s="4"/>
      <c r="AY8" s="4"/>
      <c r="AZ8" s="8">
        <f t="shared" si="10"/>
        <v>0.86666666666666659</v>
      </c>
      <c r="BB8" s="8">
        <f t="shared" si="27"/>
        <v>0</v>
      </c>
      <c r="BC8" s="8">
        <f t="shared" si="11"/>
        <v>0</v>
      </c>
      <c r="BD8" s="8">
        <f t="shared" si="12"/>
        <v>0</v>
      </c>
      <c r="BE8" s="8">
        <f t="shared" si="13"/>
        <v>0</v>
      </c>
      <c r="BF8" s="8">
        <f t="shared" si="14"/>
        <v>0</v>
      </c>
      <c r="BG8" s="8">
        <f t="shared" si="15"/>
        <v>0</v>
      </c>
      <c r="BH8" s="8">
        <f t="shared" si="16"/>
        <v>0</v>
      </c>
      <c r="BI8" s="8">
        <f t="shared" si="17"/>
        <v>0</v>
      </c>
      <c r="BJ8" s="8">
        <f t="shared" si="18"/>
        <v>0</v>
      </c>
      <c r="BK8" s="8">
        <f t="shared" si="19"/>
        <v>0</v>
      </c>
      <c r="BL8" s="8">
        <f t="shared" si="20"/>
        <v>0</v>
      </c>
      <c r="BM8" s="8">
        <f t="shared" si="21"/>
        <v>0</v>
      </c>
    </row>
    <row r="9" spans="2:66" ht="19.95" customHeight="1" x14ac:dyDescent="0.3">
      <c r="B9" s="8">
        <f>MAX(O$41:O$44)</f>
        <v>0.68493055555555549</v>
      </c>
      <c r="C9" s="4"/>
      <c r="D9" s="4"/>
      <c r="E9" s="4"/>
      <c r="F9" s="4"/>
      <c r="G9" s="4"/>
      <c r="H9" s="4"/>
      <c r="I9" s="4"/>
      <c r="J9" s="4"/>
      <c r="K9" s="4"/>
      <c r="L9" s="4"/>
      <c r="M9" s="8">
        <f>MAX(Z$41:Z$44)</f>
        <v>0.95111111111111113</v>
      </c>
      <c r="O9" s="8">
        <v>0.64493055555555545</v>
      </c>
      <c r="P9" s="4"/>
      <c r="Q9" s="4"/>
      <c r="R9" s="4"/>
      <c r="S9" s="4"/>
      <c r="T9" s="4"/>
      <c r="U9" s="4"/>
      <c r="V9" s="4"/>
      <c r="W9" s="4"/>
      <c r="X9" s="4"/>
      <c r="Y9" s="4"/>
      <c r="Z9" s="8">
        <v>0.91111111111111109</v>
      </c>
      <c r="AB9" s="8" t="str">
        <f>IF(MAX(AB$41:AB$44)=AB$41,$N$13,IF(MAX(AB$41:AB$44)=AB$42,$N$14,IF(MAX(AB$41:AB$44)=AB$43,$N$15,$N$16)))</f>
        <v>v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8" t="str">
        <f>IF(MAX(AM$41:AM$44)=AM$41,$N$13,IF(MAX(AM$41:AM$44)=AM$42,$N$14,IF(MAX(AM$41:AM$44)=AM$43,$N$15,$N$16)))</f>
        <v>v</v>
      </c>
      <c r="AO9" s="8">
        <f t="shared" si="26"/>
        <v>0.64493055555555545</v>
      </c>
      <c r="AP9" s="4"/>
      <c r="AQ9" s="4"/>
      <c r="AR9" s="4"/>
      <c r="AS9" s="4"/>
      <c r="AT9" s="4"/>
      <c r="AU9" s="4"/>
      <c r="AV9" s="4"/>
      <c r="AW9" s="4"/>
      <c r="AX9" s="4"/>
      <c r="AY9" s="4"/>
      <c r="AZ9" s="8">
        <f t="shared" si="10"/>
        <v>0.91111111111111109</v>
      </c>
      <c r="BB9" s="8">
        <f t="shared" si="27"/>
        <v>0</v>
      </c>
      <c r="BC9" s="8">
        <f t="shared" si="11"/>
        <v>0</v>
      </c>
      <c r="BD9" s="8">
        <f t="shared" si="12"/>
        <v>0</v>
      </c>
      <c r="BE9" s="8">
        <f t="shared" si="13"/>
        <v>0</v>
      </c>
      <c r="BF9" s="8">
        <f t="shared" si="14"/>
        <v>0</v>
      </c>
      <c r="BG9" s="8">
        <f t="shared" si="15"/>
        <v>0</v>
      </c>
      <c r="BH9" s="8">
        <f t="shared" si="16"/>
        <v>0</v>
      </c>
      <c r="BI9" s="8">
        <f t="shared" si="17"/>
        <v>0</v>
      </c>
      <c r="BJ9" s="8">
        <f t="shared" si="18"/>
        <v>0</v>
      </c>
      <c r="BK9" s="8">
        <f t="shared" si="19"/>
        <v>0</v>
      </c>
      <c r="BL9" s="8">
        <f t="shared" si="20"/>
        <v>0</v>
      </c>
      <c r="BM9" s="8">
        <f t="shared" si="21"/>
        <v>0</v>
      </c>
    </row>
    <row r="10" spans="2:66" ht="19.95" customHeight="1" x14ac:dyDescent="0.3">
      <c r="B10" s="8">
        <f>MAX(O$45:O$48)</f>
        <v>0.729375</v>
      </c>
      <c r="C10" s="4"/>
      <c r="D10" s="5">
        <v>1</v>
      </c>
      <c r="E10" s="4"/>
      <c r="F10" s="6">
        <v>-1</v>
      </c>
      <c r="G10" s="8">
        <f t="shared" ref="G10:H10" si="44">MAX(T$45:T$48)</f>
        <v>0.69731998368437798</v>
      </c>
      <c r="H10" s="8">
        <f t="shared" si="44"/>
        <v>0.65287534827351024</v>
      </c>
      <c r="I10" s="7">
        <v>-1</v>
      </c>
      <c r="J10" s="4"/>
      <c r="K10" s="5">
        <v>1</v>
      </c>
      <c r="L10" s="4"/>
      <c r="M10" s="8">
        <f>MAX(Z$45:Z$48)</f>
        <v>0.99555555555555553</v>
      </c>
      <c r="O10" s="8">
        <v>0.68937499999999996</v>
      </c>
      <c r="P10" s="4"/>
      <c r="Q10" s="5">
        <v>1</v>
      </c>
      <c r="R10" s="4"/>
      <c r="S10" s="6">
        <v>-1</v>
      </c>
      <c r="T10" s="8">
        <v>0.65731992218627089</v>
      </c>
      <c r="U10" s="8">
        <v>0.61287418305866392</v>
      </c>
      <c r="V10" s="7">
        <v>-1</v>
      </c>
      <c r="W10" s="4"/>
      <c r="X10" s="5">
        <v>1</v>
      </c>
      <c r="Y10" s="4"/>
      <c r="Z10" s="8">
        <v>0.95555555555555549</v>
      </c>
      <c r="AB10" s="8" t="str">
        <f>IF(MAX(AB$45:AB$48)=AB$45,$N$13,IF(MAX(AB$45:AB$48)=AB$46,$N$14,IF(MAX(AB$45:AB$48)=AB$47,$N$15,$N$16)))</f>
        <v>v</v>
      </c>
      <c r="AC10" s="4"/>
      <c r="AD10" s="5">
        <v>1</v>
      </c>
      <c r="AE10" s="4"/>
      <c r="AF10" s="6">
        <v>-1</v>
      </c>
      <c r="AG10" s="8" t="str">
        <f t="shared" ref="AG10:AH10" si="45">IF(MAX(AG$45:AG$48)=AG$45,$N$13,IF(MAX(AG$45:AG$48)=AG$46,$N$14,IF(MAX(AG$45:AG$48)=AG$47,$N$15,$N$16)))</f>
        <v>v</v>
      </c>
      <c r="AH10" s="8" t="str">
        <f t="shared" si="45"/>
        <v>&lt;</v>
      </c>
      <c r="AI10" s="7">
        <v>-1</v>
      </c>
      <c r="AJ10" s="4"/>
      <c r="AK10" s="5">
        <v>1</v>
      </c>
      <c r="AL10" s="4"/>
      <c r="AM10" s="8" t="str">
        <f>IF(MAX(AM$45:AM$48)=AM$45,$N$13,IF(MAX(AM$45:AM$48)=AM$46,$N$14,IF(MAX(AM$45:AM$48)=AM$47,$N$15,$N$16)))</f>
        <v>v</v>
      </c>
      <c r="AO10" s="8">
        <f t="shared" si="26"/>
        <v>0.68937499999999996</v>
      </c>
      <c r="AP10" s="4"/>
      <c r="AQ10" s="5">
        <v>1</v>
      </c>
      <c r="AR10" s="4"/>
      <c r="AS10" s="6">
        <v>-1</v>
      </c>
      <c r="AT10" s="8">
        <f t="shared" ref="AT10:AT11" si="46">G10-0.04</f>
        <v>0.65731998368437794</v>
      </c>
      <c r="AU10" s="8">
        <f t="shared" ref="AU10:AU11" si="47">H10-0.04</f>
        <v>0.6128753482735102</v>
      </c>
      <c r="AV10" s="7">
        <v>-1</v>
      </c>
      <c r="AW10" s="4"/>
      <c r="AX10" s="5">
        <v>1</v>
      </c>
      <c r="AY10" s="4"/>
      <c r="AZ10" s="8">
        <f t="shared" si="10"/>
        <v>0.95555555555555549</v>
      </c>
      <c r="BB10" s="8">
        <f t="shared" si="27"/>
        <v>0</v>
      </c>
      <c r="BC10" s="8">
        <f t="shared" si="11"/>
        <v>0</v>
      </c>
      <c r="BD10" s="8">
        <f t="shared" si="12"/>
        <v>0</v>
      </c>
      <c r="BE10" s="8">
        <f t="shared" si="13"/>
        <v>0</v>
      </c>
      <c r="BF10" s="8">
        <f t="shared" si="14"/>
        <v>0</v>
      </c>
      <c r="BG10" s="8">
        <f t="shared" si="15"/>
        <v>0</v>
      </c>
      <c r="BH10" s="8">
        <f t="shared" si="16"/>
        <v>0</v>
      </c>
      <c r="BI10" s="8">
        <f t="shared" si="17"/>
        <v>0</v>
      </c>
      <c r="BJ10" s="8">
        <f t="shared" si="18"/>
        <v>0</v>
      </c>
      <c r="BK10" s="8">
        <f t="shared" si="19"/>
        <v>0</v>
      </c>
      <c r="BL10" s="8">
        <f t="shared" si="20"/>
        <v>0</v>
      </c>
      <c r="BM10" s="8">
        <f t="shared" si="21"/>
        <v>0</v>
      </c>
    </row>
    <row r="11" spans="2:66" ht="19.95" customHeight="1" x14ac:dyDescent="0.3">
      <c r="B11" s="8">
        <f>MAX(O$49:O$52)</f>
        <v>0.7738194444444445</v>
      </c>
      <c r="C11" s="4"/>
      <c r="D11" s="8">
        <f t="shared" ref="D11:E11" si="48">MAX(Q$49:Q$52)</f>
        <v>0.98444444444444446</v>
      </c>
      <c r="E11" s="8">
        <f t="shared" si="48"/>
        <v>0.94</v>
      </c>
      <c r="F11" s="4"/>
      <c r="G11" s="8">
        <f t="shared" ref="G11:H11" si="49">MAX(T$49:T$52)</f>
        <v>0.74670285309626705</v>
      </c>
      <c r="H11" s="8">
        <f t="shared" si="49"/>
        <v>0.71555852872770054</v>
      </c>
      <c r="I11" s="4"/>
      <c r="J11" s="8">
        <f t="shared" ref="J11:K11" si="50">MAX(W$49:W$52)</f>
        <v>0.92534283501773773</v>
      </c>
      <c r="K11" s="8">
        <f t="shared" si="50"/>
        <v>0.98281587055726571</v>
      </c>
      <c r="L11" s="4"/>
      <c r="M11" s="5">
        <v>1</v>
      </c>
      <c r="O11" s="8">
        <v>0.73381944444444447</v>
      </c>
      <c r="P11" s="4"/>
      <c r="Q11" s="8">
        <v>0.94444444444444442</v>
      </c>
      <c r="R11" s="8">
        <v>0.89999999999999991</v>
      </c>
      <c r="S11" s="4"/>
      <c r="T11" s="8">
        <v>0.70670285042056846</v>
      </c>
      <c r="U11" s="8">
        <v>0.67555846558415977</v>
      </c>
      <c r="V11" s="4"/>
      <c r="W11" s="8">
        <v>0.88534283501551592</v>
      </c>
      <c r="X11" s="8">
        <v>0.94281587055714133</v>
      </c>
      <c r="Y11" s="4"/>
      <c r="Z11" s="5">
        <v>1</v>
      </c>
      <c r="AB11" s="8" t="str">
        <f>IF(MAX(AB$49:AB$52)=AB$49,$N$13,IF(MAX(AB$49:AB$52)=AB$50,$N$14,IF(MAX(AB$49:AB$52)=AB$51,$N$15,$N$16)))</f>
        <v>v</v>
      </c>
      <c r="AC11" s="4"/>
      <c r="AD11" s="8" t="str">
        <f t="shared" ref="AD11:AE11" si="51">IF(MAX(AD$49:AD$52)=AD$49,$N$13,IF(MAX(AD$49:AD$52)=AD$50,$N$14,IF(MAX(AD$49:AD$52)=AD$51,$N$15,$N$16)))</f>
        <v>^</v>
      </c>
      <c r="AE11" s="8" t="str">
        <f t="shared" si="51"/>
        <v>&lt;</v>
      </c>
      <c r="AF11" s="4"/>
      <c r="AG11" s="8" t="str">
        <f t="shared" ref="AG11:AH11" si="52">IF(MAX(AG$49:AG$52)=AG$49,$N$13,IF(MAX(AG$49:AG$52)=AG$50,$N$14,IF(MAX(AG$49:AG$52)=AG$51,$N$15,$N$16)))</f>
        <v>v</v>
      </c>
      <c r="AH11" s="8" t="str">
        <f t="shared" si="52"/>
        <v>v</v>
      </c>
      <c r="AI11" s="4"/>
      <c r="AJ11" s="8" t="str">
        <f t="shared" ref="AJ11:AK11" si="53">IF(MAX(AJ$49:AJ$52)=AJ$49,$N$13,IF(MAX(AJ$49:AJ$52)=AJ$50,$N$14,IF(MAX(AJ$49:AJ$52)=AJ$51,$N$15,$N$16)))</f>
        <v>&gt;</v>
      </c>
      <c r="AK11" s="8" t="str">
        <f t="shared" si="53"/>
        <v>^</v>
      </c>
      <c r="AL11" s="4"/>
      <c r="AM11" s="5">
        <v>1</v>
      </c>
      <c r="AO11" s="8">
        <f t="shared" si="26"/>
        <v>0.73381944444444447</v>
      </c>
      <c r="AP11" s="4"/>
      <c r="AQ11" s="8">
        <f t="shared" ref="AQ11:AQ12" si="54">D11-0.04</f>
        <v>0.94444444444444442</v>
      </c>
      <c r="AR11" s="8">
        <f t="shared" ref="AR11:AR12" si="55">E11-0.04</f>
        <v>0.89999999999999991</v>
      </c>
      <c r="AS11" s="4"/>
      <c r="AT11" s="8">
        <f t="shared" si="46"/>
        <v>0.70670285309626701</v>
      </c>
      <c r="AU11" s="8">
        <f t="shared" si="47"/>
        <v>0.6755585287277005</v>
      </c>
      <c r="AV11" s="4"/>
      <c r="AW11" s="8">
        <f t="shared" ref="AW11:AX11" si="56">J11-0.04</f>
        <v>0.88534283501773769</v>
      </c>
      <c r="AX11" s="8">
        <f t="shared" si="56"/>
        <v>0.94281587055726568</v>
      </c>
      <c r="AY11" s="4"/>
      <c r="AZ11" s="5">
        <v>1</v>
      </c>
      <c r="BB11" s="8">
        <f t="shared" si="27"/>
        <v>0</v>
      </c>
      <c r="BC11" s="8">
        <f t="shared" si="11"/>
        <v>0</v>
      </c>
      <c r="BD11" s="8">
        <f t="shared" si="12"/>
        <v>0</v>
      </c>
      <c r="BE11" s="8">
        <f t="shared" si="13"/>
        <v>0</v>
      </c>
      <c r="BF11" s="8">
        <f t="shared" si="14"/>
        <v>0</v>
      </c>
      <c r="BG11" s="8">
        <f t="shared" si="15"/>
        <v>0</v>
      </c>
      <c r="BH11" s="8">
        <f t="shared" si="16"/>
        <v>0</v>
      </c>
      <c r="BI11" s="8">
        <f t="shared" si="17"/>
        <v>0</v>
      </c>
      <c r="BJ11" s="8">
        <f t="shared" si="18"/>
        <v>0</v>
      </c>
      <c r="BK11" s="8">
        <f t="shared" si="19"/>
        <v>0</v>
      </c>
      <c r="BL11" s="8">
        <f t="shared" si="20"/>
        <v>0</v>
      </c>
      <c r="BM11" s="8">
        <f t="shared" si="21"/>
        <v>0</v>
      </c>
    </row>
    <row r="12" spans="2:66" ht="19.8" customHeight="1" x14ac:dyDescent="0.3">
      <c r="B12" s="8">
        <f>MAX(O$53:O$56)</f>
        <v>0.81826388888888901</v>
      </c>
      <c r="C12" s="8">
        <f t="shared" ref="C12:K12" si="57">MAX(P$53:P$56)</f>
        <v>0.87381944444444448</v>
      </c>
      <c r="D12" s="8">
        <f t="shared" si="57"/>
        <v>0.92381944444444442</v>
      </c>
      <c r="E12" s="8">
        <f t="shared" si="57"/>
        <v>0.88881944444444438</v>
      </c>
      <c r="F12" s="8">
        <f t="shared" si="57"/>
        <v>0.84437499999999988</v>
      </c>
      <c r="G12" s="8">
        <f t="shared" si="57"/>
        <v>0.79460778504205676</v>
      </c>
      <c r="H12" s="8">
        <f t="shared" si="57"/>
        <v>0.76000298491175922</v>
      </c>
      <c r="I12" s="8">
        <f t="shared" si="57"/>
        <v>0.81555855064741756</v>
      </c>
      <c r="J12" s="8">
        <f t="shared" si="57"/>
        <v>0.86555855071454335</v>
      </c>
      <c r="K12" s="8">
        <f t="shared" si="57"/>
        <v>0.83728428268997113</v>
      </c>
      <c r="L12" s="6">
        <v>-1</v>
      </c>
      <c r="M12" s="16">
        <v>0</v>
      </c>
      <c r="O12" s="8">
        <v>0.77826388888888898</v>
      </c>
      <c r="P12" s="8">
        <v>0.83381944444444445</v>
      </c>
      <c r="Q12" s="8">
        <v>0.88381944444444438</v>
      </c>
      <c r="R12" s="8">
        <v>0.84881944444444435</v>
      </c>
      <c r="S12" s="8">
        <v>0.80437499999999984</v>
      </c>
      <c r="T12" s="8">
        <v>0.75460778504205672</v>
      </c>
      <c r="U12" s="8">
        <v>0.72000298018809394</v>
      </c>
      <c r="V12" s="8">
        <v>0.77555855041816735</v>
      </c>
      <c r="W12" s="8">
        <v>0.82555855070473005</v>
      </c>
      <c r="X12" s="8">
        <v>0.79728427660313905</v>
      </c>
      <c r="Y12" s="6">
        <v>-1</v>
      </c>
      <c r="Z12" s="16">
        <v>0</v>
      </c>
      <c r="AB12" s="8" t="str">
        <f>IF(MAX(AB$53:AB$56)=AB$53,$N$13,IF(MAX(AB$53:AB$56)=AB$54,$N$14,IF(MAX(AB$53:AB$56)=AB$55,$N$15,$N$16)))</f>
        <v>&gt;</v>
      </c>
      <c r="AC12" s="8" t="str">
        <f t="shared" ref="AC12:AK12" si="58">IF(MAX(AC$53:AC$56)=AC$53,$N$13,IF(MAX(AC$53:AC$56)=AC$54,$N$14,IF(MAX(AC$53:AC$56)=AC$55,$N$15,$N$16)))</f>
        <v>&gt;</v>
      </c>
      <c r="AD12" s="8" t="str">
        <f t="shared" si="58"/>
        <v>^</v>
      </c>
      <c r="AE12" s="8" t="str">
        <f t="shared" si="58"/>
        <v>^</v>
      </c>
      <c r="AF12" s="8" t="str">
        <f t="shared" si="58"/>
        <v>&lt;</v>
      </c>
      <c r="AG12" s="8" t="str">
        <f t="shared" si="58"/>
        <v>&lt;</v>
      </c>
      <c r="AH12" s="8" t="str">
        <f t="shared" si="58"/>
        <v>&gt;</v>
      </c>
      <c r="AI12" s="8" t="str">
        <f t="shared" si="58"/>
        <v>&gt;</v>
      </c>
      <c r="AJ12" s="8" t="str">
        <f t="shared" si="58"/>
        <v>^</v>
      </c>
      <c r="AK12" s="8" t="str">
        <f t="shared" si="58"/>
        <v>&lt;</v>
      </c>
      <c r="AL12" s="6">
        <v>-1</v>
      </c>
      <c r="AM12" s="16">
        <v>0</v>
      </c>
      <c r="AO12" s="8">
        <f t="shared" si="26"/>
        <v>0.77826388888888898</v>
      </c>
      <c r="AP12" s="8">
        <f>C12-0.04</f>
        <v>0.83381944444444445</v>
      </c>
      <c r="AQ12" s="8">
        <f t="shared" si="54"/>
        <v>0.88381944444444438</v>
      </c>
      <c r="AR12" s="8">
        <f t="shared" si="55"/>
        <v>0.84881944444444435</v>
      </c>
      <c r="AS12" s="8">
        <f t="shared" ref="AS12:AX12" si="59">F12-0.04</f>
        <v>0.80437499999999984</v>
      </c>
      <c r="AT12" s="8">
        <f t="shared" si="59"/>
        <v>0.75460778504205672</v>
      </c>
      <c r="AU12" s="8">
        <f t="shared" si="59"/>
        <v>0.72000298491175918</v>
      </c>
      <c r="AV12" s="8">
        <f t="shared" si="59"/>
        <v>0.77555855064741752</v>
      </c>
      <c r="AW12" s="8">
        <f t="shared" si="59"/>
        <v>0.82555855071454332</v>
      </c>
      <c r="AX12" s="8">
        <f t="shared" si="59"/>
        <v>0.79728428268997109</v>
      </c>
      <c r="AY12" s="6">
        <v>-1</v>
      </c>
      <c r="AZ12" s="16">
        <v>0</v>
      </c>
      <c r="BB12" s="8">
        <f t="shared" si="27"/>
        <v>0</v>
      </c>
      <c r="BC12" s="8">
        <f t="shared" si="11"/>
        <v>0</v>
      </c>
      <c r="BD12" s="8">
        <f t="shared" si="12"/>
        <v>0</v>
      </c>
      <c r="BE12" s="8">
        <f t="shared" si="13"/>
        <v>0</v>
      </c>
      <c r="BF12" s="8">
        <f t="shared" si="14"/>
        <v>0</v>
      </c>
      <c r="BG12" s="8">
        <f t="shared" si="15"/>
        <v>0</v>
      </c>
      <c r="BH12" s="8">
        <f t="shared" si="16"/>
        <v>0</v>
      </c>
      <c r="BI12" s="8">
        <f t="shared" si="17"/>
        <v>0</v>
      </c>
      <c r="BJ12" s="8">
        <f t="shared" si="18"/>
        <v>0</v>
      </c>
      <c r="BK12" s="8">
        <f t="shared" si="19"/>
        <v>0</v>
      </c>
      <c r="BL12" s="8">
        <f t="shared" si="20"/>
        <v>0</v>
      </c>
      <c r="BM12" s="8">
        <f t="shared" si="21"/>
        <v>0</v>
      </c>
      <c r="BN12" s="14">
        <f>SUM(BB2:BM12)</f>
        <v>0</v>
      </c>
    </row>
    <row r="13" spans="2:66" ht="10.050000000000001" customHeight="1" x14ac:dyDescent="0.3">
      <c r="N13" t="s">
        <v>6</v>
      </c>
      <c r="O13" s="10">
        <f>$P$68*O2+$Q$68*O2+$R$68*P2+$S$68*O3</f>
        <v>0.79367283950617318</v>
      </c>
      <c r="P13" s="11">
        <f>$P68*$P$2+$Q68*$O$2+$R68*$Q$2+$S68*$P$3</f>
        <v>0.84381172839506202</v>
      </c>
      <c r="Q13" s="10">
        <f>$P68*$Q$2+$Q68*$P$2+$R68*$R$2+$S68*$Q$2</f>
        <v>0.89992283950617302</v>
      </c>
      <c r="R13" s="11">
        <f>$P68*$R$2+$Q68*$Q$2+$R68*$S$2+$S68*$R$3</f>
        <v>0.94117283950617292</v>
      </c>
      <c r="S13" s="10">
        <f>$P68*$S$2+$Q68*$R$2+$R68*$T$2+$S68*$S$3</f>
        <v>0.906172839506173</v>
      </c>
      <c r="T13" s="11">
        <f>$P68*$T$2+$Q68*$S$2+$R68*$U$2+$S68*$T$3</f>
        <v>0.8655791988407362</v>
      </c>
      <c r="U13" s="10">
        <f>$P68*$U$2+$Q68*$T$2+$R68*$V$2+$S68*$U$3</f>
        <v>0.86136884449818041</v>
      </c>
      <c r="V13" s="11">
        <f>$P68*$V$2+$Q68*$U$2+$R68*$W$2+$S68*$V$3</f>
        <v>0.9051402413647418</v>
      </c>
      <c r="W13" s="10">
        <f>$P68*$W$2+$Q68*$V$2+$R68*$X$2+$S68*$W$3</f>
        <v>0.94167352537722915</v>
      </c>
      <c r="X13" s="11">
        <f>$P68*$X$2+$Q68*$W$2+$R68*$Y$2+$S68*$X$2</f>
        <v>0.906172839506173</v>
      </c>
      <c r="Y13" s="10">
        <f>$P68*$Y$2+$Q68*$X$2+$R68*$Z$2+$S68*$Y$3</f>
        <v>0.86172839506172838</v>
      </c>
      <c r="Z13" s="2">
        <f>$P68*$Z$2+$Q68*$Y$2+$R68*$Z$2+$S68*$Z$3</f>
        <v>0.82172839506172835</v>
      </c>
      <c r="AB13" s="10">
        <f>O13</f>
        <v>0.79367283950617318</v>
      </c>
      <c r="AC13" s="10">
        <f t="shared" ref="AC13:AC56" si="60">P13</f>
        <v>0.84381172839506202</v>
      </c>
      <c r="AD13" s="10">
        <f t="shared" ref="AD13:AD56" si="61">Q13</f>
        <v>0.89992283950617302</v>
      </c>
      <c r="AE13" s="10">
        <f t="shared" ref="AE13:AE56" si="62">R13</f>
        <v>0.94117283950617292</v>
      </c>
      <c r="AF13" s="10">
        <f t="shared" ref="AF13:AF56" si="63">S13</f>
        <v>0.906172839506173</v>
      </c>
      <c r="AG13" s="10">
        <f t="shared" ref="AG13:AG56" si="64">T13</f>
        <v>0.8655791988407362</v>
      </c>
      <c r="AH13" s="10">
        <f t="shared" ref="AH13:AH56" si="65">U13</f>
        <v>0.86136884449818041</v>
      </c>
      <c r="AI13" s="10">
        <f t="shared" ref="AI13:AI56" si="66">V13</f>
        <v>0.9051402413647418</v>
      </c>
      <c r="AJ13" s="10">
        <f t="shared" ref="AJ13:AJ56" si="67">W13</f>
        <v>0.94167352537722915</v>
      </c>
      <c r="AK13" s="10">
        <f t="shared" ref="AK13:AK56" si="68">X13</f>
        <v>0.906172839506173</v>
      </c>
      <c r="AL13" s="10">
        <f t="shared" ref="AL13:AL56" si="69">Y13</f>
        <v>0.86172839506172838</v>
      </c>
      <c r="AM13" s="10">
        <f t="shared" ref="AM13:AM56" si="70">Z13</f>
        <v>0.82172839506172835</v>
      </c>
    </row>
    <row r="14" spans="2:66" ht="10.050000000000001" customHeight="1" x14ac:dyDescent="0.3">
      <c r="N14" t="s">
        <v>7</v>
      </c>
      <c r="O14" s="10">
        <f>$P$69*O2+$Q$69*O2+$R$69*P2+$S$69*O3</f>
        <v>0.78811728395061753</v>
      </c>
      <c r="P14" s="11">
        <f t="shared" ref="P14:P16" si="71">$P69*$P$2+$Q69*$O$2+$R69*$Q$2+$S69*$P$3</f>
        <v>0.79367283950617307</v>
      </c>
      <c r="Q14" s="10">
        <f t="shared" ref="Q14:Q16" si="72">$P69*$Q$2+$Q69*$P$2+$R69*$R$2+$S69*$Q$2</f>
        <v>0.84936728395061745</v>
      </c>
      <c r="R14" s="11">
        <f t="shared" ref="R14:R16" si="73">$P69*$R$2+$Q69*$Q$2+$R69*$S$2+$S69*$R$3</f>
        <v>0.90561728395061736</v>
      </c>
      <c r="S14" s="10">
        <f t="shared" ref="S14:S16" si="74">$P69*$S$2+$Q69*$R$2+$R69*$T$2+$S69*$S$3</f>
        <v>0.94617283950617292</v>
      </c>
      <c r="T14" s="11">
        <f t="shared" ref="T14:T16" si="75">$P69*$T$2+$Q69*$S$2+$R69*$U$2+$S69*$T$3</f>
        <v>0.90172839506172842</v>
      </c>
      <c r="U14" s="10">
        <f t="shared" ref="U14:U16" si="76">$P69*$U$2+$Q69*$T$2+$R69*$V$2+$S69*$U$3</f>
        <v>0.86113475439629172</v>
      </c>
      <c r="V14" s="11">
        <f t="shared" ref="V14:V16" si="77">$P69*$V$2+$Q69*$U$2+$R69*$W$2+$S69*$V$3</f>
        <v>0.86077520383274375</v>
      </c>
      <c r="W14" s="10">
        <f t="shared" ref="W14:W16" si="78">$P69*$W$2+$Q69*$V$2+$R69*$X$2+$S69*$W$3</f>
        <v>0.91012345679012352</v>
      </c>
      <c r="X14" s="11">
        <f t="shared" ref="X14:X16" si="79">$P69*$X$2+$Q69*$W$2+$R69*$Y$2+$S69*$X$2</f>
        <v>0.94617283950617292</v>
      </c>
      <c r="Y14" s="10">
        <f t="shared" ref="Y14:Y16" si="80">$P69*$Y$2+$Q69*$X$2+$R69*$Z$2+$S69*$Y$3</f>
        <v>0.90172839506172842</v>
      </c>
      <c r="Z14" s="11">
        <f t="shared" ref="Z14:Z16" si="81">$P69*$Z$2+$Q69*$Y$2+$R69*$Z$2+$S69*$Z$3</f>
        <v>0.85728395061728391</v>
      </c>
      <c r="AB14" s="10">
        <f t="shared" ref="AB14:AB56" si="82">O14</f>
        <v>0.78811728395061753</v>
      </c>
      <c r="AC14" s="10">
        <f t="shared" si="60"/>
        <v>0.79367283950617307</v>
      </c>
      <c r="AD14" s="10">
        <f t="shared" si="61"/>
        <v>0.84936728395061745</v>
      </c>
      <c r="AE14" s="10">
        <f t="shared" si="62"/>
        <v>0.90561728395061736</v>
      </c>
      <c r="AF14" s="10">
        <f t="shared" si="63"/>
        <v>0.94617283950617292</v>
      </c>
      <c r="AG14" s="10">
        <f t="shared" si="64"/>
        <v>0.90172839506172842</v>
      </c>
      <c r="AH14" s="10">
        <f t="shared" si="65"/>
        <v>0.86113475439629172</v>
      </c>
      <c r="AI14" s="10">
        <f t="shared" si="66"/>
        <v>0.86077520383274375</v>
      </c>
      <c r="AJ14" s="10">
        <f t="shared" si="67"/>
        <v>0.91012345679012352</v>
      </c>
      <c r="AK14" s="10">
        <f t="shared" si="68"/>
        <v>0.94617283950617292</v>
      </c>
      <c r="AL14" s="10">
        <f t="shared" si="69"/>
        <v>0.90172839506172842</v>
      </c>
      <c r="AM14" s="10">
        <f t="shared" si="70"/>
        <v>0.85728395061728391</v>
      </c>
    </row>
    <row r="15" spans="2:66" ht="10.050000000000001" customHeight="1" x14ac:dyDescent="0.3">
      <c r="H15" s="1"/>
      <c r="I15" s="1"/>
      <c r="N15" t="s">
        <v>8</v>
      </c>
      <c r="O15" s="10">
        <f>$P$70*O2+$Q$70*O2+$R$70*P2+$S$70*O3</f>
        <v>0.82811728395061757</v>
      </c>
      <c r="P15" s="11">
        <f t="shared" si="71"/>
        <v>0.88367283950617304</v>
      </c>
      <c r="Q15" s="10">
        <f t="shared" si="72"/>
        <v>0.94061728395061739</v>
      </c>
      <c r="R15" s="11">
        <f t="shared" si="73"/>
        <v>0.92000000000000015</v>
      </c>
      <c r="S15" s="10">
        <f t="shared" si="74"/>
        <v>0.8750617283950618</v>
      </c>
      <c r="T15" s="11">
        <f t="shared" si="75"/>
        <v>0.86097926973823524</v>
      </c>
      <c r="U15" s="10">
        <f t="shared" si="76"/>
        <v>0.89579198840930918</v>
      </c>
      <c r="V15" s="11">
        <f t="shared" si="77"/>
        <v>0.94556317634506937</v>
      </c>
      <c r="W15" s="10">
        <f t="shared" si="78"/>
        <v>0.92000000000000015</v>
      </c>
      <c r="X15" s="11">
        <f t="shared" si="79"/>
        <v>0.87061728395061733</v>
      </c>
      <c r="Y15" s="10">
        <f t="shared" si="80"/>
        <v>0.8207283950589459</v>
      </c>
      <c r="Z15" s="11">
        <f t="shared" si="81"/>
        <v>0.81272839505914518</v>
      </c>
      <c r="AB15" s="10">
        <f t="shared" si="82"/>
        <v>0.82811728395061757</v>
      </c>
      <c r="AC15" s="10">
        <f t="shared" si="60"/>
        <v>0.88367283950617304</v>
      </c>
      <c r="AD15" s="10">
        <f t="shared" si="61"/>
        <v>0.94061728395061739</v>
      </c>
      <c r="AE15" s="10">
        <f t="shared" si="62"/>
        <v>0.92000000000000015</v>
      </c>
      <c r="AF15" s="10">
        <f t="shared" si="63"/>
        <v>0.8750617283950618</v>
      </c>
      <c r="AG15" s="10">
        <f t="shared" si="64"/>
        <v>0.86097926973823524</v>
      </c>
      <c r="AH15" s="10">
        <f t="shared" si="65"/>
        <v>0.89579198840930918</v>
      </c>
      <c r="AI15" s="10">
        <f t="shared" si="66"/>
        <v>0.94556317634506937</v>
      </c>
      <c r="AJ15" s="10">
        <f t="shared" si="67"/>
        <v>0.92000000000000015</v>
      </c>
      <c r="AK15" s="10">
        <f t="shared" si="68"/>
        <v>0.87061728395061733</v>
      </c>
      <c r="AL15" s="10">
        <f t="shared" si="69"/>
        <v>0.8207283950589459</v>
      </c>
      <c r="AM15" s="10">
        <f t="shared" si="70"/>
        <v>0.81272839505914518</v>
      </c>
    </row>
    <row r="16" spans="2:66" ht="10.050000000000001" customHeight="1" x14ac:dyDescent="0.3">
      <c r="H16" s="1"/>
      <c r="I16" s="1"/>
      <c r="N16" t="s">
        <v>9</v>
      </c>
      <c r="O16" s="10">
        <f>$P$71*O2+$Q$71*O2+$R$71*P2+$S$71*O3</f>
        <v>0.75367283950617314</v>
      </c>
      <c r="P16" s="11">
        <f t="shared" si="71"/>
        <v>0.79936728395061751</v>
      </c>
      <c r="Q16" s="10">
        <f t="shared" si="72"/>
        <v>0.90561728395061736</v>
      </c>
      <c r="R16" s="11">
        <f t="shared" si="73"/>
        <v>0.99061728395061732</v>
      </c>
      <c r="S16" s="10">
        <f t="shared" si="74"/>
        <v>0.94172839506172845</v>
      </c>
      <c r="T16" s="11">
        <f t="shared" si="75"/>
        <v>0.89713475439629176</v>
      </c>
      <c r="U16" s="10">
        <f t="shared" si="76"/>
        <v>0.86198369322278057</v>
      </c>
      <c r="V16" s="11">
        <f t="shared" si="77"/>
        <v>0.94562414266117978</v>
      </c>
      <c r="W16" s="10">
        <f t="shared" si="78"/>
        <v>0.99061728395061732</v>
      </c>
      <c r="X16" s="11">
        <f t="shared" si="79"/>
        <v>0.90172839506172842</v>
      </c>
      <c r="Y16" s="10">
        <f t="shared" si="80"/>
        <v>0.80828395059224201</v>
      </c>
      <c r="Z16" s="11">
        <f t="shared" si="81"/>
        <v>0.77628395059403499</v>
      </c>
      <c r="AB16" s="10">
        <f t="shared" si="82"/>
        <v>0.75367283950617314</v>
      </c>
      <c r="AC16" s="10">
        <f t="shared" si="60"/>
        <v>0.79936728395061751</v>
      </c>
      <c r="AD16" s="10">
        <f t="shared" si="61"/>
        <v>0.90561728395061736</v>
      </c>
      <c r="AE16" s="10">
        <f t="shared" si="62"/>
        <v>0.99061728395061732</v>
      </c>
      <c r="AF16" s="10">
        <f t="shared" si="63"/>
        <v>0.94172839506172845</v>
      </c>
      <c r="AG16" s="10">
        <f t="shared" si="64"/>
        <v>0.89713475439629176</v>
      </c>
      <c r="AH16" s="10">
        <f t="shared" si="65"/>
        <v>0.86198369322278057</v>
      </c>
      <c r="AI16" s="10">
        <f t="shared" si="66"/>
        <v>0.94562414266117978</v>
      </c>
      <c r="AJ16" s="10">
        <f t="shared" si="67"/>
        <v>0.99061728395061732</v>
      </c>
      <c r="AK16" s="10">
        <f t="shared" si="68"/>
        <v>0.90172839506172842</v>
      </c>
      <c r="AL16" s="10">
        <f t="shared" si="69"/>
        <v>0.80828395059224201</v>
      </c>
      <c r="AM16" s="10">
        <f t="shared" si="70"/>
        <v>0.77628395059403499</v>
      </c>
    </row>
    <row r="17" spans="14:39" ht="10.050000000000001" customHeight="1" x14ac:dyDescent="0.3">
      <c r="N17" t="s">
        <v>6</v>
      </c>
      <c r="O17" s="11">
        <f>$P$68*O2+$Q$68*O3+$R$68*P3+$S$68*O4</f>
        <v>0.78367283950617317</v>
      </c>
      <c r="P17" s="10">
        <f>$P68*$P$2+$Q68*$O$3+$R68*$P$3+$S68*$P$4</f>
        <v>0.82811728395061757</v>
      </c>
      <c r="Q17" s="12"/>
      <c r="R17" s="15"/>
      <c r="S17" s="11">
        <f>$P68*$S$2+$Q68*$R$3+$R68*$T$3+$S68*$S$3</f>
        <v>0.91511111111111121</v>
      </c>
      <c r="T17" s="10">
        <f>$P68*$T$2+$Q68*$S$3+$R68*$U$3+$S68*$T$4</f>
        <v>0.87015791988407365</v>
      </c>
      <c r="U17" s="11">
        <f>$P68*$U$2+$Q68*$T$3+$R68*$V$3+$S68*$U$4</f>
        <v>0.86931336515051993</v>
      </c>
      <c r="V17" s="10">
        <f>$P68*$V$2+$Q68*$U$3+$R68*$W$3+$S68*$V$3</f>
        <v>0.91021278956857299</v>
      </c>
      <c r="W17" s="15"/>
      <c r="Y17" s="11">
        <f>$P68*$Y$2+$Q68*$Y$3+$R68*$Z$3+$S68*$Y$4</f>
        <v>0.84728395061191841</v>
      </c>
      <c r="Z17" s="10">
        <f>$P68*$Z$2+$Q68*$Y$3+$R68*$Z$3+$S68*$Z$4</f>
        <v>0.81172839505636285</v>
      </c>
      <c r="AB17" s="10">
        <f t="shared" si="82"/>
        <v>0.78367283950617317</v>
      </c>
      <c r="AC17" s="10">
        <f t="shared" si="60"/>
        <v>0.82811728395061757</v>
      </c>
      <c r="AD17" s="10">
        <f t="shared" si="61"/>
        <v>0</v>
      </c>
      <c r="AE17" s="10">
        <f t="shared" si="62"/>
        <v>0</v>
      </c>
      <c r="AF17" s="10">
        <f t="shared" si="63"/>
        <v>0.91511111111111121</v>
      </c>
      <c r="AG17" s="10">
        <f t="shared" si="64"/>
        <v>0.87015791988407365</v>
      </c>
      <c r="AH17" s="10">
        <f t="shared" si="65"/>
        <v>0.86931336515051993</v>
      </c>
      <c r="AI17" s="10">
        <f t="shared" si="66"/>
        <v>0.91021278956857299</v>
      </c>
      <c r="AJ17" s="10">
        <f t="shared" si="67"/>
        <v>0</v>
      </c>
      <c r="AK17" s="10">
        <f t="shared" si="68"/>
        <v>0</v>
      </c>
      <c r="AL17" s="10">
        <f t="shared" si="69"/>
        <v>0.84728395061191841</v>
      </c>
      <c r="AM17" s="10">
        <f t="shared" si="70"/>
        <v>0.81172839505636285</v>
      </c>
    </row>
    <row r="18" spans="14:39" ht="10.050000000000001" customHeight="1" x14ac:dyDescent="0.3">
      <c r="N18" t="s">
        <v>7</v>
      </c>
      <c r="O18" s="11">
        <f>$P$69*O2+$Q$69*O3+$R$69*P3+$S$69*O4</f>
        <v>0.74811728395061761</v>
      </c>
      <c r="P18" s="10">
        <f t="shared" ref="P18:P19" si="83">$P69*$P$2+$Q69*$O$3+$R69*$P$3+$S69*$P$4</f>
        <v>0.75367283950617314</v>
      </c>
      <c r="Q18" s="12"/>
      <c r="R18" s="15"/>
      <c r="S18" s="11">
        <f t="shared" ref="S18:S20" si="84">$P69*$S$2+$Q69*$R$3+$R69*$T$3+$S69*$S$3</f>
        <v>0.99061728395061732</v>
      </c>
      <c r="T18" s="10">
        <f t="shared" ref="T18:T20" si="85">$P69*$T$2+$Q69*$S$3+$R69*$U$3+$S69*$T$4</f>
        <v>0.94172839506172845</v>
      </c>
      <c r="U18" s="11">
        <f t="shared" ref="U18:U20" si="86">$P69*$U$2+$Q69*$T$3+$R69*$V$3+$S69*$U$4</f>
        <v>0.89713475439629176</v>
      </c>
      <c r="V18" s="10">
        <f t="shared" ref="V18:V19" si="87">$P69*$V$2+$Q69*$U$3+$R69*$W$3+$S69*$V$3</f>
        <v>0.86198369322278057</v>
      </c>
      <c r="W18" s="15"/>
      <c r="Y18" s="11">
        <f t="shared" ref="Y18:Y20" si="88">$P69*$Y$2+$Q69*$Y$3+$R69*$Z$3+$S69*$Y$4</f>
        <v>0.81272839503668648</v>
      </c>
      <c r="Z18" s="10">
        <f>$P69*$Z$2+$Q69*$Y$3+$R69*$Z$3+$S69*$Z$4</f>
        <v>0.80828395059224201</v>
      </c>
      <c r="AB18" s="10">
        <f t="shared" si="82"/>
        <v>0.74811728395061761</v>
      </c>
      <c r="AC18" s="10">
        <f t="shared" si="60"/>
        <v>0.75367283950617314</v>
      </c>
      <c r="AD18" s="10">
        <f t="shared" si="61"/>
        <v>0</v>
      </c>
      <c r="AE18" s="10">
        <f t="shared" si="62"/>
        <v>0</v>
      </c>
      <c r="AF18" s="10">
        <f t="shared" si="63"/>
        <v>0.99061728395061732</v>
      </c>
      <c r="AG18" s="10">
        <f t="shared" si="64"/>
        <v>0.94172839506172845</v>
      </c>
      <c r="AH18" s="10">
        <f t="shared" si="65"/>
        <v>0.89713475439629176</v>
      </c>
      <c r="AI18" s="10">
        <f t="shared" si="66"/>
        <v>0.86198369322278057</v>
      </c>
      <c r="AJ18" s="10">
        <f t="shared" si="67"/>
        <v>0</v>
      </c>
      <c r="AK18" s="10">
        <f t="shared" si="68"/>
        <v>0</v>
      </c>
      <c r="AL18" s="10">
        <f t="shared" si="69"/>
        <v>0.81272839503668648</v>
      </c>
      <c r="AM18" s="10">
        <f t="shared" si="70"/>
        <v>0.80828395059224201</v>
      </c>
    </row>
    <row r="19" spans="14:39" ht="10.050000000000001" customHeight="1" x14ac:dyDescent="0.3">
      <c r="N19" t="s">
        <v>8</v>
      </c>
      <c r="O19" s="11">
        <f>$P$70*O2+$Q$70*O3+$R$70*P3+$S$70*O4</f>
        <v>0.77906172839506205</v>
      </c>
      <c r="P19" s="10">
        <f t="shared" si="83"/>
        <v>0.78772839506172865</v>
      </c>
      <c r="Q19" s="12"/>
      <c r="R19" s="15"/>
      <c r="S19" s="11">
        <f t="shared" si="84"/>
        <v>0.90706172839506183</v>
      </c>
      <c r="T19" s="10">
        <f t="shared" si="85"/>
        <v>0.67188064302320627</v>
      </c>
      <c r="U19" s="11">
        <f t="shared" si="86"/>
        <v>0.74163467818839668</v>
      </c>
      <c r="V19" s="10">
        <f t="shared" si="87"/>
        <v>0.98506934918457556</v>
      </c>
      <c r="W19" s="15"/>
      <c r="Y19" s="11">
        <f>$P70*$Y$2+$Q70*$Y$3+$R70*$Z$3+$S70*$Y$4</f>
        <v>0.77844173430764818</v>
      </c>
      <c r="Z19" s="10">
        <f t="shared" ref="Z19:Z20" si="89">$P70*$Z$2+$Q70*$Y$3+$R70*$Z$3+$S70*$Z$4</f>
        <v>0.77244444442376992</v>
      </c>
      <c r="AB19" s="10">
        <f t="shared" si="82"/>
        <v>0.77906172839506205</v>
      </c>
      <c r="AC19" s="10">
        <f t="shared" si="60"/>
        <v>0.78772839506172865</v>
      </c>
      <c r="AD19" s="10">
        <f t="shared" si="61"/>
        <v>0</v>
      </c>
      <c r="AE19" s="10">
        <f t="shared" si="62"/>
        <v>0</v>
      </c>
      <c r="AF19" s="10">
        <f t="shared" si="63"/>
        <v>0.90706172839506183</v>
      </c>
      <c r="AG19" s="10">
        <f t="shared" si="64"/>
        <v>0.67188064302320627</v>
      </c>
      <c r="AH19" s="10">
        <f t="shared" si="65"/>
        <v>0.74163467818839668</v>
      </c>
      <c r="AI19" s="10">
        <f t="shared" si="66"/>
        <v>0.98506934918457556</v>
      </c>
      <c r="AJ19" s="10">
        <f t="shared" si="67"/>
        <v>0</v>
      </c>
      <c r="AK19" s="10">
        <f t="shared" si="68"/>
        <v>0</v>
      </c>
      <c r="AL19" s="10">
        <f t="shared" si="69"/>
        <v>0.77844173430764818</v>
      </c>
      <c r="AM19" s="10">
        <f t="shared" si="70"/>
        <v>0.77244444442376992</v>
      </c>
    </row>
    <row r="20" spans="14:39" ht="10.050000000000001" customHeight="1" x14ac:dyDescent="0.3">
      <c r="N20" t="s">
        <v>9</v>
      </c>
      <c r="O20" s="11">
        <f>$P$71*O2+$Q$71*O3+$R$71*P3+$S$71*O4</f>
        <v>0.70661728395061751</v>
      </c>
      <c r="P20" s="10">
        <f>$P71*$P$2+$Q71*$O$3+$R71*$P$3+$S71*$P$4</f>
        <v>0.73461728395061765</v>
      </c>
      <c r="Q20" s="12"/>
      <c r="R20" s="15"/>
      <c r="S20" s="11">
        <f t="shared" si="84"/>
        <v>0.94572839506172846</v>
      </c>
      <c r="T20" s="10">
        <f t="shared" si="85"/>
        <v>-0.81428652456037087</v>
      </c>
      <c r="U20" s="11">
        <f t="shared" si="86"/>
        <v>-0.8054930650815425</v>
      </c>
      <c r="V20" s="10">
        <f>$P71*$V$2+$Q71*$U$3+$R71*$W$3+$S71*$V$3</f>
        <v>0.95056241426611798</v>
      </c>
      <c r="W20" s="15"/>
      <c r="Y20" s="11">
        <f t="shared" si="88"/>
        <v>0.75114844845841566</v>
      </c>
      <c r="Z20" s="10">
        <f t="shared" si="89"/>
        <v>0.73717283950351098</v>
      </c>
      <c r="AB20" s="10">
        <f t="shared" si="82"/>
        <v>0.70661728395061751</v>
      </c>
      <c r="AC20" s="10">
        <f t="shared" si="60"/>
        <v>0.73461728395061765</v>
      </c>
      <c r="AD20" s="10">
        <f t="shared" si="61"/>
        <v>0</v>
      </c>
      <c r="AE20" s="10">
        <f t="shared" si="62"/>
        <v>0</v>
      </c>
      <c r="AF20" s="10">
        <f t="shared" si="63"/>
        <v>0.94572839506172846</v>
      </c>
      <c r="AG20" s="10">
        <f t="shared" si="64"/>
        <v>-0.81428652456037087</v>
      </c>
      <c r="AH20" s="10">
        <f t="shared" si="65"/>
        <v>-0.8054930650815425</v>
      </c>
      <c r="AI20" s="10">
        <f t="shared" si="66"/>
        <v>0.95056241426611798</v>
      </c>
      <c r="AJ20" s="10">
        <f t="shared" si="67"/>
        <v>0</v>
      </c>
      <c r="AK20" s="10">
        <f t="shared" si="68"/>
        <v>0</v>
      </c>
      <c r="AL20" s="10">
        <f t="shared" si="69"/>
        <v>0.75114844845841566</v>
      </c>
      <c r="AM20" s="10">
        <f t="shared" si="70"/>
        <v>0.73717283950351098</v>
      </c>
    </row>
    <row r="21" spans="14:39" ht="10.050000000000001" customHeight="1" x14ac:dyDescent="0.3">
      <c r="N21" t="s">
        <v>6</v>
      </c>
      <c r="O21" s="10">
        <f>$P68*$O$3+$Q68*$O$4+$R68*$P$4+$S68*$O$4</f>
        <v>0.73756172839506196</v>
      </c>
      <c r="P21" s="11">
        <f>$P68*$P$3+$Q68*$O$4+$R68*$Q$4+$S68*$P$5</f>
        <v>0.76867283950617316</v>
      </c>
      <c r="Q21" s="10">
        <f>$P68*$Q$4+$Q68*$P$4+$R68*$Q$4+$S68*$Q$5</f>
        <v>0.68867283950617308</v>
      </c>
      <c r="X21" s="11">
        <f>$P68*$X$4+$Q68*$X$4+$R68*$Y$4+$S68*$X$5</f>
        <v>0.7021978256547774</v>
      </c>
      <c r="Y21" s="10">
        <f>$P68*$Y$3+$Q68*$X$4+$R68*$Z$4+$S68*$Y$5</f>
        <v>0.78886178790289441</v>
      </c>
      <c r="Z21" s="2">
        <f>$P68*$Z$3+$Q68*$Y$4+$R68*$Z$4+$S68*$Z$5</f>
        <v>0.76560222813480006</v>
      </c>
      <c r="AB21" s="10">
        <f t="shared" si="82"/>
        <v>0.73756172839506196</v>
      </c>
      <c r="AC21" s="10">
        <f t="shared" si="60"/>
        <v>0.76867283950617316</v>
      </c>
      <c r="AD21" s="10">
        <f t="shared" si="61"/>
        <v>0.68867283950617308</v>
      </c>
      <c r="AE21" s="10">
        <f t="shared" si="62"/>
        <v>0</v>
      </c>
      <c r="AF21" s="10">
        <f t="shared" si="63"/>
        <v>0</v>
      </c>
      <c r="AG21" s="10">
        <f t="shared" si="64"/>
        <v>0</v>
      </c>
      <c r="AH21" s="10">
        <f t="shared" si="65"/>
        <v>0</v>
      </c>
      <c r="AI21" s="10">
        <f t="shared" si="66"/>
        <v>0</v>
      </c>
      <c r="AJ21" s="10">
        <f t="shared" si="67"/>
        <v>0</v>
      </c>
      <c r="AK21" s="10">
        <f t="shared" si="68"/>
        <v>0.7021978256547774</v>
      </c>
      <c r="AL21" s="10">
        <f t="shared" si="69"/>
        <v>0.78886178790289441</v>
      </c>
      <c r="AM21" s="10">
        <f t="shared" si="70"/>
        <v>0.76560222813480006</v>
      </c>
    </row>
    <row r="22" spans="14:39" ht="10.050000000000001" customHeight="1" x14ac:dyDescent="0.3">
      <c r="N22" t="s">
        <v>7</v>
      </c>
      <c r="O22" s="10">
        <f t="shared" ref="O22:O24" si="90">$P69*$O$3+$Q69*$O$4+$R69*$P$4+$S69*$O$4</f>
        <v>0.70217283950617304</v>
      </c>
      <c r="P22" s="11">
        <f>$P69*$P$3+$Q69*$O$4+$R69*$Q$4+$S69*$P$5</f>
        <v>0.70661728395061751</v>
      </c>
      <c r="Q22" s="10">
        <f>$P69*$Q$4+$Q69*$P$4+$R69*$Q$4+$S69*$Q$5</f>
        <v>0.72422839506172876</v>
      </c>
      <c r="X22" s="11">
        <f>$P69*$X$4+$Q69*$X$4+$R69*$Y$4+$S69*$X$5</f>
        <v>0.6970129409800212</v>
      </c>
      <c r="Y22" s="10">
        <f t="shared" ref="Y22:Y24" si="91">$P69*$Y$3+$Q69*$X$4+$R69*$Z$4+$S69*$Y$5</f>
        <v>0.70804004194096515</v>
      </c>
      <c r="Z22" s="11">
        <f t="shared" ref="Z22" si="92">$P69*$Z$3+$Q69*$Y$4+$R69*$Z$4+$S69*$Z$5</f>
        <v>0.75114844845841566</v>
      </c>
      <c r="AB22" s="10">
        <f t="shared" si="82"/>
        <v>0.70217283950617304</v>
      </c>
      <c r="AC22" s="10">
        <f t="shared" si="60"/>
        <v>0.70661728395061751</v>
      </c>
      <c r="AD22" s="10">
        <f t="shared" si="61"/>
        <v>0.72422839506172876</v>
      </c>
      <c r="AE22" s="10">
        <f t="shared" si="62"/>
        <v>0</v>
      </c>
      <c r="AF22" s="10">
        <f t="shared" si="63"/>
        <v>0</v>
      </c>
      <c r="AG22" s="10">
        <f t="shared" si="64"/>
        <v>0</v>
      </c>
      <c r="AH22" s="10">
        <f t="shared" si="65"/>
        <v>0</v>
      </c>
      <c r="AI22" s="10">
        <f t="shared" si="66"/>
        <v>0</v>
      </c>
      <c r="AJ22" s="10">
        <f t="shared" si="67"/>
        <v>0</v>
      </c>
      <c r="AK22" s="10">
        <f t="shared" si="68"/>
        <v>0.6970129409800212</v>
      </c>
      <c r="AL22" s="10">
        <f t="shared" si="69"/>
        <v>0.70804004194096515</v>
      </c>
      <c r="AM22" s="10">
        <f t="shared" si="70"/>
        <v>0.75114844845841566</v>
      </c>
    </row>
    <row r="23" spans="14:39" ht="10.050000000000001" customHeight="1" x14ac:dyDescent="0.3">
      <c r="N23" t="s">
        <v>8</v>
      </c>
      <c r="O23" s="10">
        <f t="shared" si="90"/>
        <v>0.727061728395062</v>
      </c>
      <c r="P23" s="11">
        <f t="shared" ref="P23:P24" si="93">$P70*$P$3+$Q70*$O$4+$R70*$Q$4+$S70*$P$5</f>
        <v>0.62335647790322923</v>
      </c>
      <c r="Q23" s="10">
        <f t="shared" ref="Q23" si="94">$P70*$Q$4+$Q70*$P$4+$R70*$Q$4+$S70*$Q$5</f>
        <v>0.60764897950412256</v>
      </c>
      <c r="X23" s="11">
        <f t="shared" ref="X23:X24" si="95">$P70*$X$4+$Q70*$X$4+$R70*$Y$4+$S70*$X$5</f>
        <v>0.73701294631586622</v>
      </c>
      <c r="Y23" s="10">
        <f t="shared" si="91"/>
        <v>0.74061728394776483</v>
      </c>
      <c r="Z23" s="11">
        <f>$P70*$Z$3+$Q70*$Y$4+$R70*$Z$4+$S70*$Z$5</f>
        <v>0.74161728394796411</v>
      </c>
      <c r="AB23" s="10">
        <f t="shared" si="82"/>
        <v>0.727061728395062</v>
      </c>
      <c r="AC23" s="10">
        <f t="shared" si="60"/>
        <v>0.62335647790322923</v>
      </c>
      <c r="AD23" s="10">
        <f t="shared" si="61"/>
        <v>0.60764897950412256</v>
      </c>
      <c r="AE23" s="10">
        <f t="shared" si="62"/>
        <v>0</v>
      </c>
      <c r="AF23" s="10">
        <f t="shared" si="63"/>
        <v>0</v>
      </c>
      <c r="AG23" s="10">
        <f t="shared" si="64"/>
        <v>0</v>
      </c>
      <c r="AH23" s="10">
        <f t="shared" si="65"/>
        <v>0</v>
      </c>
      <c r="AI23" s="10">
        <f t="shared" si="66"/>
        <v>0</v>
      </c>
      <c r="AJ23" s="10">
        <f t="shared" si="67"/>
        <v>0</v>
      </c>
      <c r="AK23" s="10">
        <f t="shared" si="68"/>
        <v>0.73701294631586622</v>
      </c>
      <c r="AL23" s="10">
        <f t="shared" si="69"/>
        <v>0.74061728394776483</v>
      </c>
      <c r="AM23" s="10">
        <f t="shared" si="70"/>
        <v>0.74161728394796411</v>
      </c>
    </row>
    <row r="24" spans="14:39" ht="10.050000000000001" customHeight="1" x14ac:dyDescent="0.3">
      <c r="N24" t="s">
        <v>9</v>
      </c>
      <c r="O24" s="10">
        <f t="shared" si="90"/>
        <v>0.70067283950617298</v>
      </c>
      <c r="P24" s="11">
        <f t="shared" si="93"/>
        <v>4.2881140635234266E-2</v>
      </c>
      <c r="Q24" s="10">
        <f>$P71*$Q$4+$Q71*$P$4+$R71*$Q$4+$S71*$Q$5</f>
        <v>-4.9863449567257301E-3</v>
      </c>
      <c r="X24" s="11">
        <f t="shared" si="95"/>
        <v>0.68888617709492816</v>
      </c>
      <c r="Y24" s="10">
        <f t="shared" si="91"/>
        <v>0.7323333333333244</v>
      </c>
      <c r="Z24" s="11">
        <f>$P71*$Z$3+$Q71*$Y$4+$R71*$Z$4+$S71*$Z$5</f>
        <v>0.77333333333332444</v>
      </c>
      <c r="AB24" s="10">
        <f t="shared" si="82"/>
        <v>0.70067283950617298</v>
      </c>
      <c r="AC24" s="10">
        <f t="shared" si="60"/>
        <v>4.2881140635234266E-2</v>
      </c>
      <c r="AD24" s="10">
        <f t="shared" si="61"/>
        <v>-4.9863449567257301E-3</v>
      </c>
      <c r="AE24" s="10">
        <f t="shared" si="62"/>
        <v>0</v>
      </c>
      <c r="AF24" s="10">
        <f t="shared" si="63"/>
        <v>0</v>
      </c>
      <c r="AG24" s="10">
        <f t="shared" si="64"/>
        <v>0</v>
      </c>
      <c r="AH24" s="10">
        <f t="shared" si="65"/>
        <v>0</v>
      </c>
      <c r="AI24" s="10">
        <f t="shared" si="66"/>
        <v>0</v>
      </c>
      <c r="AJ24" s="10">
        <f t="shared" si="67"/>
        <v>0</v>
      </c>
      <c r="AK24" s="10">
        <f t="shared" si="68"/>
        <v>0.68888617709492816</v>
      </c>
      <c r="AL24" s="10">
        <f t="shared" si="69"/>
        <v>0.7323333333333244</v>
      </c>
      <c r="AM24" s="10">
        <f t="shared" si="70"/>
        <v>0.77333333333332444</v>
      </c>
    </row>
    <row r="25" spans="14:39" ht="10.050000000000001" customHeight="1" x14ac:dyDescent="0.3">
      <c r="N25" t="s">
        <v>6</v>
      </c>
      <c r="O25" s="15"/>
      <c r="P25" s="10">
        <f>$P68*$P$4+$Q68*$P$5+$R68*$Q$5+$S68*$P$6</f>
        <v>0.57194372901228996</v>
      </c>
      <c r="Q25" s="11">
        <f>$P68*$Q$4+$Q68*$P$5+$R68*$R$5+$S68*$Q$6</f>
        <v>0.44454474950816747</v>
      </c>
      <c r="X25" s="10">
        <f>$P68*$X$4+$Q68*$W$5+$R68*$Y$5+$S68*$X$6</f>
        <v>0.53083257500623915</v>
      </c>
      <c r="Y25" s="11">
        <f>$P68*$Y$4+$Q68*$X$5+$R68*$Z$5+$S68*$Y$6</f>
        <v>0.74508942999564187</v>
      </c>
      <c r="Z25" s="9">
        <f>$P68*$Z$4+$Q68*$Y$5+$R68*$Z$5+$S68*$Z$6</f>
        <v>0.73766666666659664</v>
      </c>
      <c r="AB25" s="10">
        <f t="shared" si="82"/>
        <v>0</v>
      </c>
      <c r="AC25" s="10">
        <f t="shared" si="60"/>
        <v>0.57194372901228996</v>
      </c>
      <c r="AD25" s="10">
        <f t="shared" si="61"/>
        <v>0.44454474950816747</v>
      </c>
      <c r="AE25" s="10">
        <f t="shared" si="62"/>
        <v>0</v>
      </c>
      <c r="AF25" s="10">
        <f t="shared" si="63"/>
        <v>0</v>
      </c>
      <c r="AG25" s="10">
        <f t="shared" si="64"/>
        <v>0</v>
      </c>
      <c r="AH25" s="10">
        <f t="shared" si="65"/>
        <v>0</v>
      </c>
      <c r="AI25" s="10">
        <f t="shared" si="66"/>
        <v>0</v>
      </c>
      <c r="AJ25" s="10">
        <f t="shared" si="67"/>
        <v>0</v>
      </c>
      <c r="AK25" s="10">
        <f t="shared" si="68"/>
        <v>0.53083257500623915</v>
      </c>
      <c r="AL25" s="10">
        <f t="shared" si="69"/>
        <v>0.74508942999564187</v>
      </c>
      <c r="AM25" s="10">
        <f t="shared" si="70"/>
        <v>0.73766666666659664</v>
      </c>
    </row>
    <row r="26" spans="14:39" ht="10.050000000000001" customHeight="1" x14ac:dyDescent="0.3">
      <c r="N26" t="s">
        <v>7</v>
      </c>
      <c r="O26" s="15"/>
      <c r="P26" s="10">
        <f t="shared" ref="P26:P28" si="96">$P69*$P$4+$Q69*$P$5+$R69*$Q$5+$S69*$P$6</f>
        <v>4.7325585079678725E-2</v>
      </c>
      <c r="Q26" s="11">
        <f t="shared" ref="Q26:Q27" si="97">$P69*$Q$4+$Q69*$P$5+$R69*$R$5+$S69*$Q$6</f>
        <v>4.2881140635234266E-2</v>
      </c>
      <c r="X26" s="10">
        <f>$P69*$X$4+$Q69*$W$5+$R69*$Y$5+$S69*$X$6</f>
        <v>-0.83029870590199795</v>
      </c>
      <c r="Y26" s="11">
        <f t="shared" ref="Y26:Y28" si="98">$P69*$Y$4+$Q69*$X$5+$R69*$Z$5+$S69*$Y$6</f>
        <v>0.68888617709492816</v>
      </c>
      <c r="Z26" s="10">
        <f t="shared" ref="Z26:Z28" si="99">$P69*$Z$4+$Q69*$Y$5+$R69*$Z$5+$S69*$Z$6</f>
        <v>0.7323333333333244</v>
      </c>
      <c r="AB26" s="10">
        <f t="shared" si="82"/>
        <v>0</v>
      </c>
      <c r="AC26" s="10">
        <f t="shared" si="60"/>
        <v>4.7325585079678725E-2</v>
      </c>
      <c r="AD26" s="10">
        <f t="shared" si="61"/>
        <v>4.2881140635234266E-2</v>
      </c>
      <c r="AE26" s="10">
        <f t="shared" si="62"/>
        <v>0</v>
      </c>
      <c r="AF26" s="10">
        <f t="shared" si="63"/>
        <v>0</v>
      </c>
      <c r="AG26" s="10">
        <f t="shared" si="64"/>
        <v>0</v>
      </c>
      <c r="AH26" s="10">
        <f t="shared" si="65"/>
        <v>0</v>
      </c>
      <c r="AI26" s="10">
        <f t="shared" si="66"/>
        <v>0</v>
      </c>
      <c r="AJ26" s="10">
        <f t="shared" si="67"/>
        <v>0</v>
      </c>
      <c r="AK26" s="10">
        <f t="shared" si="68"/>
        <v>-0.83029870590199795</v>
      </c>
      <c r="AL26" s="10">
        <f t="shared" si="69"/>
        <v>0.68888617709492816</v>
      </c>
      <c r="AM26" s="10">
        <f t="shared" si="70"/>
        <v>0.7323333333333244</v>
      </c>
    </row>
    <row r="27" spans="14:39" ht="10.050000000000001" customHeight="1" x14ac:dyDescent="0.3">
      <c r="N27" t="s">
        <v>8</v>
      </c>
      <c r="O27" s="15"/>
      <c r="P27" s="10">
        <f t="shared" si="96"/>
        <v>4.776708997936507E-3</v>
      </c>
      <c r="Q27" s="11">
        <f t="shared" si="97"/>
        <v>-0.73894698798606429</v>
      </c>
      <c r="X27" s="10">
        <f t="shared" ref="X27:X28" si="100">$P70*$X$4+$Q70*$W$5+$R70*$Y$5+$S70*$X$6</f>
        <v>0.72370129407564276</v>
      </c>
      <c r="Y27" s="11">
        <f>$P70*$Y$4+$Q70*$X$5+$R70*$Z$5+$S70*$Y$6</f>
        <v>0.7703306232172028</v>
      </c>
      <c r="Z27" s="10">
        <f t="shared" si="99"/>
        <v>0.77333333333332444</v>
      </c>
      <c r="AB27" s="10">
        <f t="shared" si="82"/>
        <v>0</v>
      </c>
      <c r="AC27" s="10">
        <f t="shared" si="60"/>
        <v>4.776708997936507E-3</v>
      </c>
      <c r="AD27" s="10">
        <f t="shared" si="61"/>
        <v>-0.73894698798606429</v>
      </c>
      <c r="AE27" s="10">
        <f t="shared" si="62"/>
        <v>0</v>
      </c>
      <c r="AF27" s="10">
        <f t="shared" si="63"/>
        <v>0</v>
      </c>
      <c r="AG27" s="10">
        <f t="shared" si="64"/>
        <v>0</v>
      </c>
      <c r="AH27" s="10">
        <f t="shared" si="65"/>
        <v>0</v>
      </c>
      <c r="AI27" s="10">
        <f t="shared" si="66"/>
        <v>0</v>
      </c>
      <c r="AJ27" s="10">
        <f t="shared" si="67"/>
        <v>0</v>
      </c>
      <c r="AK27" s="10">
        <f t="shared" si="68"/>
        <v>0.72370129407564276</v>
      </c>
      <c r="AL27" s="10">
        <f t="shared" si="69"/>
        <v>0.7703306232172028</v>
      </c>
      <c r="AM27" s="10">
        <f t="shared" si="70"/>
        <v>0.77333333333332444</v>
      </c>
    </row>
    <row r="28" spans="14:39" ht="10.050000000000001" customHeight="1" x14ac:dyDescent="0.3">
      <c r="N28" t="s">
        <v>9</v>
      </c>
      <c r="O28" s="15"/>
      <c r="P28" s="10">
        <f t="shared" si="96"/>
        <v>-3.3698274922371763E-2</v>
      </c>
      <c r="Q28" s="11">
        <f>$P71*$Q$4+$Q71*$P$5+$R71*$R$5+$S71*$Q$6</f>
        <v>-0.16632844743013458</v>
      </c>
      <c r="X28" s="10">
        <f t="shared" si="100"/>
        <v>0.68722222202098993</v>
      </c>
      <c r="Y28" s="11">
        <f t="shared" si="98"/>
        <v>0.73677777777777753</v>
      </c>
      <c r="Z28" s="10">
        <f t="shared" si="99"/>
        <v>0.77777777777777757</v>
      </c>
      <c r="AB28" s="10">
        <f t="shared" si="82"/>
        <v>0</v>
      </c>
      <c r="AC28" s="10">
        <f t="shared" si="60"/>
        <v>-3.3698274922371763E-2</v>
      </c>
      <c r="AD28" s="10">
        <f t="shared" si="61"/>
        <v>-0.16632844743013458</v>
      </c>
      <c r="AE28" s="10">
        <f t="shared" si="62"/>
        <v>0</v>
      </c>
      <c r="AF28" s="10">
        <f t="shared" si="63"/>
        <v>0</v>
      </c>
      <c r="AG28" s="10">
        <f t="shared" si="64"/>
        <v>0</v>
      </c>
      <c r="AH28" s="10">
        <f t="shared" si="65"/>
        <v>0</v>
      </c>
      <c r="AI28" s="10">
        <f t="shared" si="66"/>
        <v>0</v>
      </c>
      <c r="AJ28" s="10">
        <f t="shared" si="67"/>
        <v>0</v>
      </c>
      <c r="AK28" s="10">
        <f t="shared" si="68"/>
        <v>0.68722222202098993</v>
      </c>
      <c r="AL28" s="10">
        <f t="shared" si="69"/>
        <v>0.73677777777777753</v>
      </c>
      <c r="AM28" s="10">
        <f t="shared" si="70"/>
        <v>0.77777777777777757</v>
      </c>
    </row>
    <row r="29" spans="14:39" ht="10.050000000000001" customHeight="1" x14ac:dyDescent="0.3">
      <c r="N29" t="s">
        <v>6</v>
      </c>
      <c r="O29" s="10">
        <f>$P68*$O$6+$Q68*$O$6+$R68*$P$6+$S68*$O$7</f>
        <v>0.39980989469675599</v>
      </c>
      <c r="P29" s="11">
        <f>$P$68*$P$5+$Q$68*$O$6+$R$68*$Q$6+$S$68*$P$7</f>
        <v>1.4665091426703119E-2</v>
      </c>
      <c r="Q29" s="10">
        <f>$P68*$Q$5+$Q68*$P$6+$R68*$Q$6+$S68*$Q$6</f>
        <v>-7.5460402444917987E-2</v>
      </c>
      <c r="X29" s="2">
        <f>$P68*$X$5+$Q68*$X$6+$R68*$Y$6+$S68*$X$6</f>
        <v>0.6872222207084584</v>
      </c>
      <c r="Y29" s="9">
        <f>$P68*$Y$5+$Q68*$X$6+$R68*$Z$6+$S68*$Y$7</f>
        <v>0.73177777775541841</v>
      </c>
      <c r="Z29" s="2">
        <f>$P68*$Z$5+$Q68*$Y$6+$R68*$Z$6+$S68*$Z$7</f>
        <v>0.77322222222222203</v>
      </c>
      <c r="AB29" s="10">
        <f t="shared" si="82"/>
        <v>0.39980989469675599</v>
      </c>
      <c r="AC29" s="10">
        <f t="shared" si="60"/>
        <v>1.4665091426703119E-2</v>
      </c>
      <c r="AD29" s="10">
        <f t="shared" si="61"/>
        <v>-7.5460402444917987E-2</v>
      </c>
      <c r="AE29" s="10">
        <f t="shared" si="62"/>
        <v>0</v>
      </c>
      <c r="AF29" s="10">
        <f t="shared" si="63"/>
        <v>0</v>
      </c>
      <c r="AG29" s="10">
        <f t="shared" si="64"/>
        <v>0</v>
      </c>
      <c r="AH29" s="10">
        <f t="shared" si="65"/>
        <v>0</v>
      </c>
      <c r="AI29" s="10">
        <f t="shared" si="66"/>
        <v>0</v>
      </c>
      <c r="AJ29" s="10">
        <f t="shared" si="67"/>
        <v>0</v>
      </c>
      <c r="AK29" s="10">
        <f t="shared" si="68"/>
        <v>0.6872222207084584</v>
      </c>
      <c r="AL29" s="10">
        <f t="shared" si="69"/>
        <v>0.73177777775541841</v>
      </c>
      <c r="AM29" s="10">
        <f t="shared" si="70"/>
        <v>0.77322222222222203</v>
      </c>
    </row>
    <row r="30" spans="14:39" ht="10.050000000000001" customHeight="1" x14ac:dyDescent="0.3">
      <c r="N30" t="s">
        <v>7</v>
      </c>
      <c r="O30" s="10">
        <f t="shared" ref="O30:O32" si="101">$P69*$O$6+$Q69*$O$6+$R69*$P$6+$S69*$O$7</f>
        <v>0.4473865124866348</v>
      </c>
      <c r="P30" s="11">
        <f t="shared" ref="P30:P32" si="102">$P$68*$P$5+$Q$68*$O$6+$R$68*$Q$6+$S$68*$P$7</f>
        <v>1.4665091426703119E-2</v>
      </c>
      <c r="Q30" s="10">
        <f t="shared" ref="Q30:Q32" si="103">$P69*$Q$5+$Q69*$P$6+$R69*$Q$6+$S69*$Q$6</f>
        <v>-3.3698274922371763E-2</v>
      </c>
      <c r="X30" s="11">
        <f t="shared" ref="X30:X32" si="104">$P69*$X$5+$Q69*$X$6+$R69*$Y$6+$S69*$X$6</f>
        <v>0.68222222183456438</v>
      </c>
      <c r="Y30" s="10">
        <f t="shared" ref="Y30:Y32" si="105">$P69*$Y$5+$Q69*$X$6+$R69*$Z$6+$S69*$Y$7</f>
        <v>0.68722222202098993</v>
      </c>
      <c r="Z30" s="11">
        <f t="shared" ref="Z30:Z32" si="106">$P69*$Z$5+$Q69*$Y$6+$R69*$Z$6+$S69*$Z$7</f>
        <v>0.73677777777777753</v>
      </c>
      <c r="AB30" s="10">
        <f t="shared" si="82"/>
        <v>0.4473865124866348</v>
      </c>
      <c r="AC30" s="10">
        <f t="shared" si="60"/>
        <v>1.4665091426703119E-2</v>
      </c>
      <c r="AD30" s="10">
        <f t="shared" si="61"/>
        <v>-3.3698274922371763E-2</v>
      </c>
      <c r="AE30" s="10">
        <f t="shared" si="62"/>
        <v>0</v>
      </c>
      <c r="AF30" s="10">
        <f t="shared" si="63"/>
        <v>0</v>
      </c>
      <c r="AG30" s="10">
        <f t="shared" si="64"/>
        <v>0</v>
      </c>
      <c r="AH30" s="10">
        <f t="shared" si="65"/>
        <v>0</v>
      </c>
      <c r="AI30" s="10">
        <f t="shared" si="66"/>
        <v>0</v>
      </c>
      <c r="AJ30" s="10">
        <f t="shared" si="67"/>
        <v>0</v>
      </c>
      <c r="AK30" s="10">
        <f t="shared" si="68"/>
        <v>0.68222222183456438</v>
      </c>
      <c r="AL30" s="10">
        <f t="shared" si="69"/>
        <v>0.68722222202098993</v>
      </c>
      <c r="AM30" s="10">
        <f t="shared" si="70"/>
        <v>0.73677777777777753</v>
      </c>
    </row>
    <row r="31" spans="14:39" ht="10.050000000000001" customHeight="1" x14ac:dyDescent="0.3">
      <c r="N31" t="s">
        <v>8</v>
      </c>
      <c r="O31" s="10">
        <f t="shared" si="101"/>
        <v>7.6552534043806644E-2</v>
      </c>
      <c r="P31" s="11">
        <f t="shared" si="102"/>
        <v>1.4665091426703119E-2</v>
      </c>
      <c r="Q31" s="10">
        <f t="shared" si="103"/>
        <v>-7.4485023481567769E-2</v>
      </c>
      <c r="X31" s="11">
        <f t="shared" si="104"/>
        <v>0.72222222201343733</v>
      </c>
      <c r="Y31" s="10">
        <f t="shared" si="105"/>
        <v>0.77222222222222203</v>
      </c>
      <c r="Z31" s="11">
        <f t="shared" si="106"/>
        <v>0.78222222222222204</v>
      </c>
      <c r="AB31" s="10">
        <f t="shared" si="82"/>
        <v>7.6552534043806644E-2</v>
      </c>
      <c r="AC31" s="10">
        <f t="shared" si="60"/>
        <v>1.4665091426703119E-2</v>
      </c>
      <c r="AD31" s="10">
        <f t="shared" si="61"/>
        <v>-7.4485023481567769E-2</v>
      </c>
      <c r="AE31" s="10">
        <f t="shared" si="62"/>
        <v>0</v>
      </c>
      <c r="AF31" s="10">
        <f t="shared" si="63"/>
        <v>0</v>
      </c>
      <c r="AG31" s="10">
        <f t="shared" si="64"/>
        <v>0</v>
      </c>
      <c r="AH31" s="10">
        <f t="shared" si="65"/>
        <v>0</v>
      </c>
      <c r="AI31" s="10">
        <f t="shared" si="66"/>
        <v>0</v>
      </c>
      <c r="AJ31" s="10">
        <f t="shared" si="67"/>
        <v>0</v>
      </c>
      <c r="AK31" s="10">
        <f t="shared" si="68"/>
        <v>0.72222222201343733</v>
      </c>
      <c r="AL31" s="10">
        <f t="shared" si="69"/>
        <v>0.77222222222222203</v>
      </c>
      <c r="AM31" s="10">
        <f t="shared" si="70"/>
        <v>0.78222222222222204</v>
      </c>
    </row>
    <row r="32" spans="14:39" ht="10.050000000000001" customHeight="1" x14ac:dyDescent="0.3">
      <c r="N32" t="s">
        <v>9</v>
      </c>
      <c r="O32" s="10">
        <f t="shared" si="101"/>
        <v>0.48782056958258174</v>
      </c>
      <c r="P32" s="11">
        <f t="shared" si="102"/>
        <v>1.4665091426703119E-2</v>
      </c>
      <c r="Q32" s="10">
        <f t="shared" si="103"/>
        <v>-7.369827492237177E-2</v>
      </c>
      <c r="X32" s="11">
        <f t="shared" si="104"/>
        <v>0.68722222202098993</v>
      </c>
      <c r="Y32" s="10">
        <f t="shared" si="105"/>
        <v>0.76877777777777756</v>
      </c>
      <c r="Z32" s="11">
        <f t="shared" si="106"/>
        <v>0.8177777777777776</v>
      </c>
      <c r="AB32" s="10">
        <f t="shared" si="82"/>
        <v>0.48782056958258174</v>
      </c>
      <c r="AC32" s="10">
        <f t="shared" si="60"/>
        <v>1.4665091426703119E-2</v>
      </c>
      <c r="AD32" s="10">
        <f t="shared" si="61"/>
        <v>-7.369827492237177E-2</v>
      </c>
      <c r="AE32" s="10">
        <f t="shared" si="62"/>
        <v>0</v>
      </c>
      <c r="AF32" s="10">
        <f t="shared" si="63"/>
        <v>0</v>
      </c>
      <c r="AG32" s="10">
        <f t="shared" si="64"/>
        <v>0</v>
      </c>
      <c r="AH32" s="10">
        <f t="shared" si="65"/>
        <v>0</v>
      </c>
      <c r="AI32" s="10">
        <f t="shared" si="66"/>
        <v>0</v>
      </c>
      <c r="AJ32" s="10">
        <f t="shared" si="67"/>
        <v>0</v>
      </c>
      <c r="AK32" s="10">
        <f t="shared" si="68"/>
        <v>0.68722222202098993</v>
      </c>
      <c r="AL32" s="10">
        <f t="shared" si="69"/>
        <v>0.76877777777777756</v>
      </c>
      <c r="AM32" s="10">
        <f t="shared" si="70"/>
        <v>0.8177777777777776</v>
      </c>
    </row>
    <row r="33" spans="14:39" ht="10.050000000000001" customHeight="1" x14ac:dyDescent="0.3">
      <c r="N33" t="s">
        <v>6</v>
      </c>
      <c r="O33" s="11">
        <f>$P68*$O$6+$Q68*$O$7+$R68*$P$7+$S68*$O$8</f>
        <v>0.45716547636283772</v>
      </c>
      <c r="P33" s="10">
        <f>$P68*$P$6+$Q68*$O$7+$R68*$P$7+$S68*$P$7</f>
        <v>7.6552534043806644E-2</v>
      </c>
      <c r="Y33" s="11">
        <f>$P68*$Y$6+$Q68*$Y$7+$R68*$Z$7+$S68*$Y$7</f>
        <v>0.74477777777777754</v>
      </c>
      <c r="Z33" s="10">
        <f>$P68*$Z$6+$Q68*$Y$7+$R68*$Z$7+$S68*$Z$8</f>
        <v>0.78122222222222204</v>
      </c>
      <c r="AB33" s="10">
        <f t="shared" si="82"/>
        <v>0.45716547636283772</v>
      </c>
      <c r="AC33" s="10">
        <f t="shared" si="60"/>
        <v>7.6552534043806644E-2</v>
      </c>
      <c r="AD33" s="10">
        <f t="shared" si="61"/>
        <v>0</v>
      </c>
      <c r="AE33" s="10">
        <f t="shared" si="62"/>
        <v>0</v>
      </c>
      <c r="AF33" s="10">
        <f t="shared" si="63"/>
        <v>0</v>
      </c>
      <c r="AG33" s="10">
        <f t="shared" si="64"/>
        <v>0</v>
      </c>
      <c r="AH33" s="10">
        <f t="shared" si="65"/>
        <v>0</v>
      </c>
      <c r="AI33" s="10">
        <f t="shared" si="66"/>
        <v>0</v>
      </c>
      <c r="AJ33" s="10">
        <f t="shared" si="67"/>
        <v>0</v>
      </c>
      <c r="AK33" s="10">
        <f t="shared" si="68"/>
        <v>0</v>
      </c>
      <c r="AL33" s="10">
        <f t="shared" si="69"/>
        <v>0.74477777777777754</v>
      </c>
      <c r="AM33" s="10">
        <f t="shared" si="70"/>
        <v>0.78122222222222204</v>
      </c>
    </row>
    <row r="34" spans="14:39" ht="10.050000000000001" customHeight="1" x14ac:dyDescent="0.3">
      <c r="N34" t="s">
        <v>7</v>
      </c>
      <c r="O34" s="11">
        <f t="shared" ref="O34:O36" si="107">$P69*$O$6+$Q69*$O$7+$R69*$P$7+$S69*$O$8</f>
        <v>0.53539718737246056</v>
      </c>
      <c r="P34" s="10">
        <f>$P69*$P$6+$Q69*$O$7+$R69*$P$7+$S69*$P$7</f>
        <v>0.48782056958258174</v>
      </c>
      <c r="Y34" s="11">
        <f t="shared" ref="Y34:Y36" si="108">$P69*$Y$6+$Q69*$Y$7+$R69*$Z$7+$S69*$Y$7</f>
        <v>0.76422222222222203</v>
      </c>
      <c r="Z34" s="10">
        <f t="shared" ref="Z34:Z35" si="109">$P69*$Z$6+$Q69*$Y$7+$R69*$Z$7+$S69*$Z$8</f>
        <v>0.76877777777777756</v>
      </c>
      <c r="AB34" s="10">
        <f t="shared" si="82"/>
        <v>0.53539718737246056</v>
      </c>
      <c r="AC34" s="10">
        <f t="shared" si="60"/>
        <v>0.48782056958258174</v>
      </c>
      <c r="AD34" s="10">
        <f t="shared" si="61"/>
        <v>0</v>
      </c>
      <c r="AE34" s="10">
        <f t="shared" si="62"/>
        <v>0</v>
      </c>
      <c r="AF34" s="10">
        <f t="shared" si="63"/>
        <v>0</v>
      </c>
      <c r="AG34" s="10">
        <f t="shared" si="64"/>
        <v>0</v>
      </c>
      <c r="AH34" s="10">
        <f t="shared" si="65"/>
        <v>0</v>
      </c>
      <c r="AI34" s="10">
        <f t="shared" si="66"/>
        <v>0</v>
      </c>
      <c r="AJ34" s="10">
        <f t="shared" si="67"/>
        <v>0</v>
      </c>
      <c r="AK34" s="10">
        <f t="shared" si="68"/>
        <v>0</v>
      </c>
      <c r="AL34" s="10">
        <f t="shared" si="69"/>
        <v>0.76422222222222203</v>
      </c>
      <c r="AM34" s="10">
        <f t="shared" si="70"/>
        <v>0.76877777777777756</v>
      </c>
    </row>
    <row r="35" spans="14:39" ht="10.050000000000001" customHeight="1" x14ac:dyDescent="0.3">
      <c r="N35" t="s">
        <v>8</v>
      </c>
      <c r="O35" s="11">
        <f>$P70*$O$6+$Q70*$O$7+$R70*$P$7+$S70*$O$8</f>
        <v>0.46269647234908245</v>
      </c>
      <c r="P35" s="10">
        <f t="shared" ref="P35:P36" si="110">$P70*$P$6+$Q70*$O$7+$R70*$P$7+$S70*$P$7</f>
        <v>0.39980989469675599</v>
      </c>
      <c r="Y35" s="11">
        <f t="shared" si="108"/>
        <v>0.80777777777777759</v>
      </c>
      <c r="Z35" s="10">
        <f t="shared" si="109"/>
        <v>0.82222222222222208</v>
      </c>
      <c r="AB35" s="10">
        <f t="shared" si="82"/>
        <v>0.46269647234908245</v>
      </c>
      <c r="AC35" s="10">
        <f t="shared" si="60"/>
        <v>0.39980989469675599</v>
      </c>
      <c r="AD35" s="10">
        <f t="shared" si="61"/>
        <v>0</v>
      </c>
      <c r="AE35" s="10">
        <f t="shared" si="62"/>
        <v>0</v>
      </c>
      <c r="AF35" s="10">
        <f t="shared" si="63"/>
        <v>0</v>
      </c>
      <c r="AG35" s="10">
        <f t="shared" si="64"/>
        <v>0</v>
      </c>
      <c r="AH35" s="10">
        <f t="shared" si="65"/>
        <v>0</v>
      </c>
      <c r="AI35" s="10">
        <f t="shared" si="66"/>
        <v>0</v>
      </c>
      <c r="AJ35" s="10">
        <f t="shared" si="67"/>
        <v>0</v>
      </c>
      <c r="AK35" s="10">
        <f t="shared" si="68"/>
        <v>0</v>
      </c>
      <c r="AL35" s="10">
        <f t="shared" si="69"/>
        <v>0.80777777777777759</v>
      </c>
      <c r="AM35" s="10">
        <f t="shared" si="70"/>
        <v>0.82222222222222208</v>
      </c>
    </row>
    <row r="36" spans="14:39" ht="10.050000000000001" customHeight="1" x14ac:dyDescent="0.3">
      <c r="N36" t="s">
        <v>9</v>
      </c>
      <c r="O36" s="11">
        <f t="shared" si="107"/>
        <v>0.58517615124866351</v>
      </c>
      <c r="P36" s="10">
        <f t="shared" si="110"/>
        <v>0.4473865124866348</v>
      </c>
      <c r="Y36" s="11">
        <f t="shared" si="108"/>
        <v>0.77322222222222203</v>
      </c>
      <c r="Z36" s="10">
        <f>$P71*$Z$6+$Q71*$Y$7+$R71*$Z$7+$S71*$Z$8</f>
        <v>0.86222222222222211</v>
      </c>
      <c r="AB36" s="10">
        <f t="shared" si="82"/>
        <v>0.58517615124866351</v>
      </c>
      <c r="AC36" s="10">
        <f t="shared" si="60"/>
        <v>0.4473865124866348</v>
      </c>
      <c r="AD36" s="10">
        <f t="shared" si="61"/>
        <v>0</v>
      </c>
      <c r="AE36" s="10">
        <f t="shared" si="62"/>
        <v>0</v>
      </c>
      <c r="AF36" s="10">
        <f t="shared" si="63"/>
        <v>0</v>
      </c>
      <c r="AG36" s="10">
        <f t="shared" si="64"/>
        <v>0</v>
      </c>
      <c r="AH36" s="10">
        <f t="shared" si="65"/>
        <v>0</v>
      </c>
      <c r="AI36" s="10">
        <f t="shared" si="66"/>
        <v>0</v>
      </c>
      <c r="AJ36" s="10">
        <f t="shared" si="67"/>
        <v>0</v>
      </c>
      <c r="AK36" s="10">
        <f t="shared" si="68"/>
        <v>0</v>
      </c>
      <c r="AL36" s="10">
        <f t="shared" si="69"/>
        <v>0.77322222222222203</v>
      </c>
      <c r="AM36" s="10">
        <f t="shared" si="70"/>
        <v>0.86222222222222211</v>
      </c>
    </row>
    <row r="37" spans="14:39" ht="10.050000000000001" customHeight="1" x14ac:dyDescent="0.3">
      <c r="N37" t="s">
        <v>6</v>
      </c>
      <c r="O37" s="10">
        <f>$P68*$O$7+$Q68*$O$8+$R68*$O$8+$S68*$O$9</f>
        <v>0.55623814322115306</v>
      </c>
      <c r="Z37" s="11">
        <f>$P68*$Z$7+$Q68*$Z$8+$R68*$Z$8+$S68*$Z$9</f>
        <v>0.83111111111111102</v>
      </c>
      <c r="AB37" s="10">
        <f t="shared" si="82"/>
        <v>0.55623814322115306</v>
      </c>
      <c r="AC37" s="10">
        <f t="shared" si="60"/>
        <v>0</v>
      </c>
      <c r="AD37" s="10">
        <f t="shared" si="61"/>
        <v>0</v>
      </c>
      <c r="AE37" s="10">
        <f t="shared" si="62"/>
        <v>0</v>
      </c>
      <c r="AF37" s="10">
        <f t="shared" si="63"/>
        <v>0</v>
      </c>
      <c r="AG37" s="10">
        <f t="shared" si="64"/>
        <v>0</v>
      </c>
      <c r="AH37" s="10">
        <f t="shared" si="65"/>
        <v>0</v>
      </c>
      <c r="AI37" s="10">
        <f t="shared" si="66"/>
        <v>0</v>
      </c>
      <c r="AJ37" s="10">
        <f t="shared" si="67"/>
        <v>0</v>
      </c>
      <c r="AK37" s="10">
        <f t="shared" si="68"/>
        <v>0</v>
      </c>
      <c r="AL37" s="10">
        <f t="shared" si="69"/>
        <v>0</v>
      </c>
      <c r="AM37" s="10">
        <f t="shared" si="70"/>
        <v>0.83111111111111102</v>
      </c>
    </row>
    <row r="38" spans="14:39" ht="10.050000000000001" customHeight="1" x14ac:dyDescent="0.3">
      <c r="N38" t="s">
        <v>7</v>
      </c>
      <c r="O38" s="10">
        <f t="shared" ref="O38:O40" si="111">$P69*$O$7+$Q69*$O$8+$R69*$O$8+$S69*$O$9</f>
        <v>0.59495511512486632</v>
      </c>
      <c r="Z38" s="11">
        <f t="shared" ref="Z38:Z40" si="112">$P69*$Z$7+$Q69*$Z$8+$R69*$Z$8+$S69*$Z$9</f>
        <v>0.86222222222222211</v>
      </c>
      <c r="AB38" s="10">
        <f t="shared" si="82"/>
        <v>0.59495511512486632</v>
      </c>
      <c r="AC38" s="10">
        <f t="shared" si="60"/>
        <v>0</v>
      </c>
      <c r="AD38" s="10">
        <f t="shared" si="61"/>
        <v>0</v>
      </c>
      <c r="AE38" s="10">
        <f t="shared" si="62"/>
        <v>0</v>
      </c>
      <c r="AF38" s="10">
        <f t="shared" si="63"/>
        <v>0</v>
      </c>
      <c r="AG38" s="10">
        <f t="shared" si="64"/>
        <v>0</v>
      </c>
      <c r="AH38" s="10">
        <f t="shared" si="65"/>
        <v>0</v>
      </c>
      <c r="AI38" s="10">
        <f t="shared" si="66"/>
        <v>0</v>
      </c>
      <c r="AJ38" s="10">
        <f t="shared" si="67"/>
        <v>0</v>
      </c>
      <c r="AK38" s="10">
        <f t="shared" si="68"/>
        <v>0</v>
      </c>
      <c r="AL38" s="10">
        <f t="shared" si="69"/>
        <v>0</v>
      </c>
      <c r="AM38" s="10">
        <f t="shared" si="70"/>
        <v>0.86222222222222211</v>
      </c>
    </row>
    <row r="39" spans="14:39" ht="10.050000000000001" customHeight="1" x14ac:dyDescent="0.3">
      <c r="N39" t="s">
        <v>8</v>
      </c>
      <c r="O39" s="10">
        <f t="shared" si="111"/>
        <v>0.59939955956931068</v>
      </c>
      <c r="Z39" s="11">
        <f t="shared" si="112"/>
        <v>0.8666666666666667</v>
      </c>
      <c r="AB39" s="10">
        <f t="shared" si="82"/>
        <v>0.59939955956931068</v>
      </c>
      <c r="AC39" s="10">
        <f t="shared" si="60"/>
        <v>0</v>
      </c>
      <c r="AD39" s="10">
        <f t="shared" si="61"/>
        <v>0</v>
      </c>
      <c r="AE39" s="10">
        <f t="shared" si="62"/>
        <v>0</v>
      </c>
      <c r="AF39" s="10">
        <f t="shared" si="63"/>
        <v>0</v>
      </c>
      <c r="AG39" s="10">
        <f t="shared" si="64"/>
        <v>0</v>
      </c>
      <c r="AH39" s="10">
        <f t="shared" si="65"/>
        <v>0</v>
      </c>
      <c r="AI39" s="10">
        <f t="shared" si="66"/>
        <v>0</v>
      </c>
      <c r="AJ39" s="10">
        <f t="shared" si="67"/>
        <v>0</v>
      </c>
      <c r="AK39" s="10">
        <f t="shared" si="68"/>
        <v>0</v>
      </c>
      <c r="AL39" s="10">
        <f t="shared" si="69"/>
        <v>0</v>
      </c>
      <c r="AM39" s="10">
        <f t="shared" si="70"/>
        <v>0.8666666666666667</v>
      </c>
    </row>
    <row r="40" spans="14:39" ht="10.050000000000001" customHeight="1" x14ac:dyDescent="0.3">
      <c r="N40" t="s">
        <v>9</v>
      </c>
      <c r="O40" s="10">
        <f t="shared" si="111"/>
        <v>0.64048611111111109</v>
      </c>
      <c r="Z40" s="11">
        <f t="shared" si="112"/>
        <v>0.90666666666666662</v>
      </c>
      <c r="AB40" s="10">
        <f t="shared" si="82"/>
        <v>0.64048611111111109</v>
      </c>
      <c r="AC40" s="10">
        <f t="shared" si="60"/>
        <v>0</v>
      </c>
      <c r="AD40" s="10">
        <f t="shared" si="61"/>
        <v>0</v>
      </c>
      <c r="AE40" s="10">
        <f t="shared" si="62"/>
        <v>0</v>
      </c>
      <c r="AF40" s="10">
        <f t="shared" si="63"/>
        <v>0</v>
      </c>
      <c r="AG40" s="10">
        <f t="shared" si="64"/>
        <v>0</v>
      </c>
      <c r="AH40" s="10">
        <f t="shared" si="65"/>
        <v>0</v>
      </c>
      <c r="AI40" s="10">
        <f t="shared" si="66"/>
        <v>0</v>
      </c>
      <c r="AJ40" s="10">
        <f t="shared" si="67"/>
        <v>0</v>
      </c>
      <c r="AK40" s="10">
        <f t="shared" si="68"/>
        <v>0</v>
      </c>
      <c r="AL40" s="10">
        <f t="shared" si="69"/>
        <v>0</v>
      </c>
      <c r="AM40" s="10">
        <f t="shared" si="70"/>
        <v>0.90666666666666662</v>
      </c>
    </row>
    <row r="41" spans="14:39" ht="10.050000000000001" customHeight="1" x14ac:dyDescent="0.3">
      <c r="N41" t="s">
        <v>6</v>
      </c>
      <c r="O41" s="11">
        <f>$P68*$O$8+$Q68*$O$9+$R68*$O$9+$S68*$O$10</f>
        <v>0.60937499999999989</v>
      </c>
      <c r="Z41" s="10">
        <f>$P68*$Z$8+$Q68*$Z$9+$R68*$Z$9+$S68*$Z$10</f>
        <v>0.87555555555555564</v>
      </c>
      <c r="AB41" s="10">
        <f t="shared" si="82"/>
        <v>0.60937499999999989</v>
      </c>
      <c r="AC41" s="10">
        <f t="shared" si="60"/>
        <v>0</v>
      </c>
      <c r="AD41" s="10">
        <f t="shared" si="61"/>
        <v>0</v>
      </c>
      <c r="AE41" s="10">
        <f t="shared" si="62"/>
        <v>0</v>
      </c>
      <c r="AF41" s="10">
        <f t="shared" si="63"/>
        <v>0</v>
      </c>
      <c r="AG41" s="10">
        <f t="shared" si="64"/>
        <v>0</v>
      </c>
      <c r="AH41" s="10">
        <f t="shared" si="65"/>
        <v>0</v>
      </c>
      <c r="AI41" s="10">
        <f t="shared" si="66"/>
        <v>0</v>
      </c>
      <c r="AJ41" s="10">
        <f t="shared" si="67"/>
        <v>0</v>
      </c>
      <c r="AK41" s="10">
        <f t="shared" si="68"/>
        <v>0</v>
      </c>
      <c r="AL41" s="10">
        <f t="shared" si="69"/>
        <v>0</v>
      </c>
      <c r="AM41" s="10">
        <f t="shared" si="70"/>
        <v>0.87555555555555564</v>
      </c>
    </row>
    <row r="42" spans="14:39" ht="10.050000000000001" customHeight="1" x14ac:dyDescent="0.3">
      <c r="N42" t="s">
        <v>7</v>
      </c>
      <c r="O42" s="11">
        <f t="shared" ref="O42:O44" si="113">$P69*$O$8+$Q69*$O$9+$R69*$O$9+$S69*$O$10</f>
        <v>0.64048611111111109</v>
      </c>
      <c r="Z42" s="10">
        <f t="shared" ref="Z42:Z44" si="114">$P69*$Z$8+$Q69*$Z$9+$R69*$Z$9+$S69*$Z$10</f>
        <v>0.90666666666666662</v>
      </c>
      <c r="AB42" s="10">
        <f t="shared" si="82"/>
        <v>0.64048611111111109</v>
      </c>
      <c r="AC42" s="10">
        <f t="shared" si="60"/>
        <v>0</v>
      </c>
      <c r="AD42" s="10">
        <f t="shared" si="61"/>
        <v>0</v>
      </c>
      <c r="AE42" s="10">
        <f t="shared" si="62"/>
        <v>0</v>
      </c>
      <c r="AF42" s="10">
        <f t="shared" si="63"/>
        <v>0</v>
      </c>
      <c r="AG42" s="10">
        <f t="shared" si="64"/>
        <v>0</v>
      </c>
      <c r="AH42" s="10">
        <f t="shared" si="65"/>
        <v>0</v>
      </c>
      <c r="AI42" s="10">
        <f t="shared" si="66"/>
        <v>0</v>
      </c>
      <c r="AJ42" s="10">
        <f t="shared" si="67"/>
        <v>0</v>
      </c>
      <c r="AK42" s="10">
        <f t="shared" si="68"/>
        <v>0</v>
      </c>
      <c r="AL42" s="10">
        <f t="shared" si="69"/>
        <v>0</v>
      </c>
      <c r="AM42" s="10">
        <f t="shared" si="70"/>
        <v>0.90666666666666662</v>
      </c>
    </row>
    <row r="43" spans="14:39" ht="10.050000000000001" customHeight="1" x14ac:dyDescent="0.3">
      <c r="N43" t="s">
        <v>8</v>
      </c>
      <c r="O43" s="11">
        <f t="shared" si="113"/>
        <v>0.64493055555555556</v>
      </c>
      <c r="Z43" s="10">
        <f t="shared" si="114"/>
        <v>0.9111111111111112</v>
      </c>
      <c r="AB43" s="10">
        <f t="shared" si="82"/>
        <v>0.64493055555555556</v>
      </c>
      <c r="AC43" s="10">
        <f t="shared" si="60"/>
        <v>0</v>
      </c>
      <c r="AD43" s="10">
        <f t="shared" si="61"/>
        <v>0</v>
      </c>
      <c r="AE43" s="10">
        <f t="shared" si="62"/>
        <v>0</v>
      </c>
      <c r="AF43" s="10">
        <f t="shared" si="63"/>
        <v>0</v>
      </c>
      <c r="AG43" s="10">
        <f t="shared" si="64"/>
        <v>0</v>
      </c>
      <c r="AH43" s="10">
        <f t="shared" si="65"/>
        <v>0</v>
      </c>
      <c r="AI43" s="10">
        <f t="shared" si="66"/>
        <v>0</v>
      </c>
      <c r="AJ43" s="10">
        <f t="shared" si="67"/>
        <v>0</v>
      </c>
      <c r="AK43" s="10">
        <f t="shared" si="68"/>
        <v>0</v>
      </c>
      <c r="AL43" s="10">
        <f t="shared" si="69"/>
        <v>0</v>
      </c>
      <c r="AM43" s="10">
        <f t="shared" si="70"/>
        <v>0.9111111111111112</v>
      </c>
    </row>
    <row r="44" spans="14:39" ht="10.050000000000001" customHeight="1" x14ac:dyDescent="0.3">
      <c r="N44" t="s">
        <v>9</v>
      </c>
      <c r="O44" s="11">
        <f t="shared" si="113"/>
        <v>0.68493055555555549</v>
      </c>
      <c r="Z44" s="10">
        <f t="shared" si="114"/>
        <v>0.95111111111111113</v>
      </c>
      <c r="AB44" s="10">
        <f t="shared" si="82"/>
        <v>0.68493055555555549</v>
      </c>
      <c r="AC44" s="10">
        <f t="shared" si="60"/>
        <v>0</v>
      </c>
      <c r="AD44" s="10">
        <f t="shared" si="61"/>
        <v>0</v>
      </c>
      <c r="AE44" s="10">
        <f t="shared" si="62"/>
        <v>0</v>
      </c>
      <c r="AF44" s="10">
        <f t="shared" si="63"/>
        <v>0</v>
      </c>
      <c r="AG44" s="10">
        <f t="shared" si="64"/>
        <v>0</v>
      </c>
      <c r="AH44" s="10">
        <f t="shared" si="65"/>
        <v>0</v>
      </c>
      <c r="AI44" s="10">
        <f t="shared" si="66"/>
        <v>0</v>
      </c>
      <c r="AJ44" s="10">
        <f t="shared" si="67"/>
        <v>0</v>
      </c>
      <c r="AK44" s="10">
        <f t="shared" si="68"/>
        <v>0</v>
      </c>
      <c r="AL44" s="10">
        <f t="shared" si="69"/>
        <v>0</v>
      </c>
      <c r="AM44" s="10">
        <f t="shared" si="70"/>
        <v>0.95111111111111113</v>
      </c>
    </row>
    <row r="45" spans="14:39" ht="10.050000000000001" customHeight="1" x14ac:dyDescent="0.3">
      <c r="N45" t="s">
        <v>6</v>
      </c>
      <c r="O45" s="10">
        <f>$P68*$O$9+$Q68*$O$10+$R68*$O$10+$S68*$O$11</f>
        <v>0.6538194444444444</v>
      </c>
      <c r="T45" s="11">
        <f>$P68*$T$10+$Q68*$S$10+$R68*$U$10+$S68*$T$11</f>
        <v>0.48714335605488313</v>
      </c>
      <c r="U45" s="10">
        <f>$P68*$U$10+$Q68*$T$10+$R68*$V$10+$S68*$U$11</f>
        <v>0.45603133866555834</v>
      </c>
      <c r="Z45" s="11">
        <f>$P68*$Z$9+$Q68*$Z$10+$R68*$Z$10+$S68*$Z$11</f>
        <v>0.92000000000000015</v>
      </c>
      <c r="AB45" s="10">
        <f t="shared" si="82"/>
        <v>0.6538194444444444</v>
      </c>
      <c r="AC45" s="10">
        <f t="shared" si="60"/>
        <v>0</v>
      </c>
      <c r="AD45" s="10">
        <f t="shared" si="61"/>
        <v>0</v>
      </c>
      <c r="AE45" s="10">
        <f t="shared" si="62"/>
        <v>0</v>
      </c>
      <c r="AF45" s="10">
        <f t="shared" si="63"/>
        <v>0</v>
      </c>
      <c r="AG45" s="10">
        <f t="shared" si="64"/>
        <v>0.48714335605488313</v>
      </c>
      <c r="AH45" s="10">
        <f t="shared" si="65"/>
        <v>0.45603133866555834</v>
      </c>
      <c r="AI45" s="10">
        <f t="shared" si="66"/>
        <v>0</v>
      </c>
      <c r="AJ45" s="10">
        <f t="shared" si="67"/>
        <v>0</v>
      </c>
      <c r="AK45" s="10">
        <f t="shared" si="68"/>
        <v>0</v>
      </c>
      <c r="AL45" s="10">
        <f t="shared" si="69"/>
        <v>0</v>
      </c>
      <c r="AM45" s="10">
        <f t="shared" si="70"/>
        <v>0.92000000000000015</v>
      </c>
    </row>
    <row r="46" spans="14:39" ht="10.050000000000001" customHeight="1" x14ac:dyDescent="0.3">
      <c r="N46" t="s">
        <v>7</v>
      </c>
      <c r="O46" s="10">
        <f t="shared" ref="O46:O48" si="115">$P69*$O$9+$Q69*$O$10+$R69*$O$10+$S69*$O$11</f>
        <v>0.68493055555555549</v>
      </c>
      <c r="T46" s="11">
        <f t="shared" ref="T46:T48" si="116">$P69*$T$10+$Q69*$S$10+$R69*$U$10+$S69*$T$11</f>
        <v>-0.83426800778137289</v>
      </c>
      <c r="U46" s="10">
        <f t="shared" ref="U46:U48" si="117">$P69*$U$10+$Q69*$T$10+$R69*$V$10+$S69*$U$11</f>
        <v>0.65287534827351024</v>
      </c>
      <c r="Z46" s="11">
        <f t="shared" ref="Z46:Z48" si="118">$P69*$Z$9+$Q69*$Z$10+$R69*$Z$10+$S69*$Z$11</f>
        <v>0.95111111111111113</v>
      </c>
      <c r="AB46" s="10">
        <f t="shared" si="82"/>
        <v>0.68493055555555549</v>
      </c>
      <c r="AC46" s="10">
        <f t="shared" si="60"/>
        <v>0</v>
      </c>
      <c r="AD46" s="10">
        <f t="shared" si="61"/>
        <v>0</v>
      </c>
      <c r="AE46" s="10">
        <f t="shared" si="62"/>
        <v>0</v>
      </c>
      <c r="AF46" s="10">
        <f t="shared" si="63"/>
        <v>0</v>
      </c>
      <c r="AG46" s="10">
        <f t="shared" si="64"/>
        <v>-0.83426800778137289</v>
      </c>
      <c r="AH46" s="10">
        <f t="shared" si="65"/>
        <v>0.65287534827351024</v>
      </c>
      <c r="AI46" s="10">
        <f t="shared" si="66"/>
        <v>0</v>
      </c>
      <c r="AJ46" s="10">
        <f t="shared" si="67"/>
        <v>0</v>
      </c>
      <c r="AK46" s="10">
        <f t="shared" si="68"/>
        <v>0</v>
      </c>
      <c r="AL46" s="10">
        <f t="shared" si="69"/>
        <v>0</v>
      </c>
      <c r="AM46" s="10">
        <f t="shared" si="70"/>
        <v>0.95111111111111113</v>
      </c>
    </row>
    <row r="47" spans="14:39" ht="10.050000000000001" customHeight="1" x14ac:dyDescent="0.3">
      <c r="N47" t="s">
        <v>8</v>
      </c>
      <c r="O47" s="10">
        <f t="shared" si="115"/>
        <v>0.68937499999999996</v>
      </c>
      <c r="T47" s="11">
        <f t="shared" si="116"/>
        <v>0.62670162370761517</v>
      </c>
      <c r="U47" s="10">
        <f t="shared" si="117"/>
        <v>-0.67115673513571772</v>
      </c>
      <c r="Z47" s="11">
        <f t="shared" si="118"/>
        <v>0.9555555555555556</v>
      </c>
      <c r="AB47" s="10">
        <f t="shared" si="82"/>
        <v>0.68937499999999996</v>
      </c>
      <c r="AC47" s="10">
        <f t="shared" si="60"/>
        <v>0</v>
      </c>
      <c r="AD47" s="10">
        <f t="shared" si="61"/>
        <v>0</v>
      </c>
      <c r="AE47" s="10">
        <f t="shared" si="62"/>
        <v>0</v>
      </c>
      <c r="AF47" s="10">
        <f t="shared" si="63"/>
        <v>0</v>
      </c>
      <c r="AG47" s="10">
        <f t="shared" si="64"/>
        <v>0.62670162370761517</v>
      </c>
      <c r="AH47" s="10">
        <f t="shared" si="65"/>
        <v>-0.67115673513571772</v>
      </c>
      <c r="AI47" s="10">
        <f t="shared" si="66"/>
        <v>0</v>
      </c>
      <c r="AJ47" s="10">
        <f t="shared" si="67"/>
        <v>0</v>
      </c>
      <c r="AK47" s="10">
        <f t="shared" si="68"/>
        <v>0</v>
      </c>
      <c r="AL47" s="10">
        <f t="shared" si="69"/>
        <v>0</v>
      </c>
      <c r="AM47" s="10">
        <f t="shared" si="70"/>
        <v>0.9555555555555556</v>
      </c>
    </row>
    <row r="48" spans="14:39" ht="10.050000000000001" customHeight="1" x14ac:dyDescent="0.3">
      <c r="N48" t="s">
        <v>9</v>
      </c>
      <c r="O48" s="10">
        <f t="shared" si="115"/>
        <v>0.729375</v>
      </c>
      <c r="T48" s="11">
        <f t="shared" si="116"/>
        <v>0.69731998368437798</v>
      </c>
      <c r="U48" s="10">
        <f t="shared" si="117"/>
        <v>0.50800261902574384</v>
      </c>
      <c r="Z48" s="11">
        <f t="shared" si="118"/>
        <v>0.99555555555555553</v>
      </c>
      <c r="AB48" s="10">
        <f t="shared" si="82"/>
        <v>0.729375</v>
      </c>
      <c r="AC48" s="10">
        <f t="shared" si="60"/>
        <v>0</v>
      </c>
      <c r="AD48" s="10">
        <f t="shared" si="61"/>
        <v>0</v>
      </c>
      <c r="AE48" s="10">
        <f t="shared" si="62"/>
        <v>0</v>
      </c>
      <c r="AF48" s="10">
        <f t="shared" si="63"/>
        <v>0</v>
      </c>
      <c r="AG48" s="10">
        <f t="shared" si="64"/>
        <v>0.69731998368437798</v>
      </c>
      <c r="AH48" s="10">
        <f t="shared" si="65"/>
        <v>0.50800261902574384</v>
      </c>
      <c r="AI48" s="10">
        <f t="shared" si="66"/>
        <v>0</v>
      </c>
      <c r="AJ48" s="10">
        <f t="shared" si="67"/>
        <v>0</v>
      </c>
      <c r="AK48" s="10">
        <f t="shared" si="68"/>
        <v>0</v>
      </c>
      <c r="AL48" s="10">
        <f t="shared" si="69"/>
        <v>0</v>
      </c>
      <c r="AM48" s="10">
        <f t="shared" si="70"/>
        <v>0.99555555555555553</v>
      </c>
    </row>
    <row r="49" spans="14:39" ht="10.050000000000001" customHeight="1" x14ac:dyDescent="0.3">
      <c r="N49" t="s">
        <v>6</v>
      </c>
      <c r="O49" s="11">
        <f>$P68*$O$10+$Q68*$O$11+$R68*$O$11+$S68*$O$12</f>
        <v>0.69826388888888891</v>
      </c>
      <c r="Q49" s="11">
        <f>$P68*$Q$10+$Q68*$Q$11+$R68*$R$11+$S68*$Q$12</f>
        <v>0.98444444444444446</v>
      </c>
      <c r="R49" s="10">
        <f>$P68*$R$11+$Q68*$Q$11+$R68*$R$11+$S68*$R$12</f>
        <v>0.90444444444444438</v>
      </c>
      <c r="T49" s="10">
        <f>$P68*$T$10+$Q68*$T$11+$R68*$U$11+$S68*$T$12</f>
        <v>0.66408206934948955</v>
      </c>
      <c r="U49" s="11">
        <f>$P68*$U$10+$Q68*$T$11+$R68*$U$11+$S68*$U$12</f>
        <v>0.628525478047404</v>
      </c>
      <c r="W49" s="11">
        <f>$P68*$W$11+$Q68*$W$11+$R68*$X$11+$S68*$W$12</f>
        <v>0.89109013856967845</v>
      </c>
      <c r="X49" s="10">
        <f>$P68*$X$10+$Q68*$W$11+$R68*$X$11+$S68*$X$12</f>
        <v>0.98281587055726571</v>
      </c>
      <c r="Z49" s="15"/>
      <c r="AB49" s="10">
        <f t="shared" si="82"/>
        <v>0.69826388888888891</v>
      </c>
      <c r="AC49" s="10">
        <f t="shared" si="60"/>
        <v>0</v>
      </c>
      <c r="AD49" s="10">
        <f t="shared" si="61"/>
        <v>0.98444444444444446</v>
      </c>
      <c r="AE49" s="10">
        <f t="shared" si="62"/>
        <v>0.90444444444444438</v>
      </c>
      <c r="AF49" s="10">
        <f t="shared" si="63"/>
        <v>0</v>
      </c>
      <c r="AG49" s="10">
        <f t="shared" si="64"/>
        <v>0.66408206934948955</v>
      </c>
      <c r="AH49" s="10">
        <f t="shared" si="65"/>
        <v>0.628525478047404</v>
      </c>
      <c r="AI49" s="10">
        <f t="shared" si="66"/>
        <v>0</v>
      </c>
      <c r="AJ49" s="10">
        <f t="shared" si="67"/>
        <v>0.89109013856967845</v>
      </c>
      <c r="AK49" s="10">
        <f t="shared" si="68"/>
        <v>0.98281587055726571</v>
      </c>
      <c r="AL49" s="10">
        <f t="shared" si="69"/>
        <v>0</v>
      </c>
      <c r="AM49" s="10">
        <f t="shared" si="70"/>
        <v>0</v>
      </c>
    </row>
    <row r="50" spans="14:39" ht="10.050000000000001" customHeight="1" x14ac:dyDescent="0.3">
      <c r="N50" t="s">
        <v>7</v>
      </c>
      <c r="O50" s="11">
        <f t="shared" ref="O50:O52" si="119">$P69*$O$10+$Q69*$O$11+$R69*$O$11+$S69*$O$12</f>
        <v>0.729375</v>
      </c>
      <c r="Q50" s="11">
        <f t="shared" ref="Q50:Q52" si="120">$P69*$Q$10+$Q69*$Q$11+$R69*$R$11+$S69*$Q$12</f>
        <v>0.95</v>
      </c>
      <c r="R50" s="10">
        <f t="shared" ref="R50:R52" si="121">$P69*$R$11+$Q69*$Q$11+$R69*$R$11+$S69*$R$12</f>
        <v>0.94</v>
      </c>
      <c r="T50" s="10">
        <f t="shared" ref="T50:T52" si="122">$P69*$T$10+$Q69*$T$11+$R69*$U$11+$S69*$T$12</f>
        <v>0.70176455759713874</v>
      </c>
      <c r="U50" s="11">
        <f t="shared" ref="U50:U52" si="123">$P69*$U$10+$Q69*$T$11+$R69*$U$11+$S69*$U$12</f>
        <v>0.69731998368437798</v>
      </c>
      <c r="W50" s="11">
        <f t="shared" ref="W50:W52" si="124">$P69*$W$11+$Q69*$W$11+$R69*$X$11+$S69*$W$12</f>
        <v>0.88534283501551592</v>
      </c>
      <c r="X50" s="10">
        <f t="shared" ref="X50:X52" si="125">$P69*$X$10+$Q69*$W$11+$R69*$X$11+$S69*$X$12</f>
        <v>0.89680855151396432</v>
      </c>
      <c r="Z50" s="15"/>
      <c r="AB50" s="10">
        <f t="shared" si="82"/>
        <v>0.729375</v>
      </c>
      <c r="AC50" s="10">
        <f t="shared" si="60"/>
        <v>0</v>
      </c>
      <c r="AD50" s="10">
        <f t="shared" si="61"/>
        <v>0.95</v>
      </c>
      <c r="AE50" s="10">
        <f t="shared" si="62"/>
        <v>0.94</v>
      </c>
      <c r="AF50" s="10">
        <f t="shared" si="63"/>
        <v>0</v>
      </c>
      <c r="AG50" s="10">
        <f t="shared" si="64"/>
        <v>0.70176455759713874</v>
      </c>
      <c r="AH50" s="10">
        <f t="shared" si="65"/>
        <v>0.69731998368437798</v>
      </c>
      <c r="AI50" s="10">
        <f t="shared" si="66"/>
        <v>0</v>
      </c>
      <c r="AJ50" s="10">
        <f t="shared" si="67"/>
        <v>0.88534283501551592</v>
      </c>
      <c r="AK50" s="10">
        <f t="shared" si="68"/>
        <v>0.89680855151396432</v>
      </c>
      <c r="AL50" s="10">
        <f t="shared" si="69"/>
        <v>0</v>
      </c>
      <c r="AM50" s="10">
        <f t="shared" si="70"/>
        <v>0</v>
      </c>
    </row>
    <row r="51" spans="14:39" ht="10.050000000000001" customHeight="1" x14ac:dyDescent="0.3">
      <c r="N51" t="s">
        <v>8</v>
      </c>
      <c r="O51" s="11">
        <f t="shared" si="119"/>
        <v>0.73381944444444447</v>
      </c>
      <c r="Q51" s="11">
        <f t="shared" si="120"/>
        <v>0.90838194444444442</v>
      </c>
      <c r="R51" s="10">
        <f t="shared" si="121"/>
        <v>0.89488194444444435</v>
      </c>
      <c r="T51" s="10">
        <f t="shared" si="122"/>
        <v>0.68163954319016073</v>
      </c>
      <c r="U51" s="11">
        <f t="shared" si="123"/>
        <v>0.67373448879200359</v>
      </c>
      <c r="W51" s="11">
        <f t="shared" si="124"/>
        <v>0.92534283501773773</v>
      </c>
      <c r="X51" s="10">
        <f t="shared" si="125"/>
        <v>0.93398112410602696</v>
      </c>
      <c r="Z51" s="15"/>
      <c r="AB51" s="10">
        <f t="shared" si="82"/>
        <v>0.73381944444444447</v>
      </c>
      <c r="AC51" s="10">
        <f t="shared" si="60"/>
        <v>0</v>
      </c>
      <c r="AD51" s="10">
        <f t="shared" si="61"/>
        <v>0.90838194444444442</v>
      </c>
      <c r="AE51" s="10">
        <f t="shared" si="62"/>
        <v>0.89488194444444435</v>
      </c>
      <c r="AF51" s="10">
        <f t="shared" si="63"/>
        <v>0</v>
      </c>
      <c r="AG51" s="10">
        <f t="shared" si="64"/>
        <v>0.68163954319016073</v>
      </c>
      <c r="AH51" s="10">
        <f t="shared" si="65"/>
        <v>0.67373448879200359</v>
      </c>
      <c r="AI51" s="10">
        <f t="shared" si="66"/>
        <v>0</v>
      </c>
      <c r="AJ51" s="10">
        <f t="shared" si="67"/>
        <v>0.92534283501773773</v>
      </c>
      <c r="AK51" s="10">
        <f t="shared" si="68"/>
        <v>0.93398112410602696</v>
      </c>
      <c r="AL51" s="10">
        <f t="shared" si="69"/>
        <v>0</v>
      </c>
      <c r="AM51" s="10">
        <f t="shared" si="70"/>
        <v>0</v>
      </c>
    </row>
    <row r="52" spans="14:39" ht="10.050000000000001" customHeight="1" x14ac:dyDescent="0.3">
      <c r="N52" t="s">
        <v>9</v>
      </c>
      <c r="O52" s="11">
        <f t="shared" si="119"/>
        <v>0.7738194444444445</v>
      </c>
      <c r="Q52" s="11">
        <f t="shared" si="120"/>
        <v>0.88543749999999988</v>
      </c>
      <c r="R52" s="10">
        <f t="shared" si="121"/>
        <v>0.8539374999999999</v>
      </c>
      <c r="T52" s="10">
        <f t="shared" si="122"/>
        <v>0.74670285309626705</v>
      </c>
      <c r="U52" s="11">
        <f t="shared" si="123"/>
        <v>0.71555852872770054</v>
      </c>
      <c r="W52" s="11">
        <f t="shared" si="124"/>
        <v>0.83728428268997113</v>
      </c>
      <c r="X52" s="10">
        <f t="shared" si="125"/>
        <v>0.8118374359985393</v>
      </c>
      <c r="Z52" s="15"/>
      <c r="AB52" s="10">
        <f t="shared" si="82"/>
        <v>0.7738194444444445</v>
      </c>
      <c r="AC52" s="10">
        <f t="shared" si="60"/>
        <v>0</v>
      </c>
      <c r="AD52" s="10">
        <f t="shared" si="61"/>
        <v>0.88543749999999988</v>
      </c>
      <c r="AE52" s="10">
        <f t="shared" si="62"/>
        <v>0.8539374999999999</v>
      </c>
      <c r="AF52" s="10">
        <f t="shared" si="63"/>
        <v>0</v>
      </c>
      <c r="AG52" s="10">
        <f t="shared" si="64"/>
        <v>0.74670285309626705</v>
      </c>
      <c r="AH52" s="10">
        <f t="shared" si="65"/>
        <v>0.71555852872770054</v>
      </c>
      <c r="AI52" s="10">
        <f t="shared" si="66"/>
        <v>0</v>
      </c>
      <c r="AJ52" s="10">
        <f t="shared" si="67"/>
        <v>0.83728428268997113</v>
      </c>
      <c r="AK52" s="10">
        <f t="shared" si="68"/>
        <v>0.8118374359985393</v>
      </c>
      <c r="AL52" s="10">
        <f t="shared" si="69"/>
        <v>0</v>
      </c>
      <c r="AM52" s="10">
        <f t="shared" si="70"/>
        <v>0</v>
      </c>
    </row>
    <row r="53" spans="14:39" ht="10.050000000000001" customHeight="1" x14ac:dyDescent="0.3">
      <c r="N53" t="s">
        <v>6</v>
      </c>
      <c r="O53" s="10">
        <f>$P68*$O$11+$Q68*$O$12+$R68*$P$12+$S68*$O$12</f>
        <v>0.74826388888888895</v>
      </c>
      <c r="P53" s="13">
        <f>$P68*$P$12+$Q68*$O$12+$R68*$Q$12+$S68*$P$12</f>
        <v>0.83326388888888903</v>
      </c>
      <c r="Q53" s="10">
        <f>$P68*$Q$11+$Q68*$P$12+$R68*$R$12+$S68*$Q$12</f>
        <v>0.92381944444444442</v>
      </c>
      <c r="R53" s="11">
        <f>$P68*$R$11+$Q68*$Q$12+$R68*$S$12+$S68*$R$12</f>
        <v>0.88881944444444438</v>
      </c>
      <c r="S53" s="10">
        <f>$P68*$S$12+$Q68*$R$12+$R68*$T$12+$S68*$S$12</f>
        <v>0.80384272294865</v>
      </c>
      <c r="T53" s="11">
        <f>$P68*$T$11+$Q68*$S$12+$R68*$U$12+$S68*$T$12</f>
        <v>0.71780007835526416</v>
      </c>
      <c r="U53" s="10">
        <f>$P68*$U$11+$Q68*$T$12+$R68*$V$12+$S68*$U$12</f>
        <v>0.69346340601335021</v>
      </c>
      <c r="V53" s="11">
        <f>$P68*$V$12+$Q68*$U$12+$R68*$W$12+$S68*$V$12</f>
        <v>0.77500299342381629</v>
      </c>
      <c r="W53" s="10">
        <f>$P68*$W$11+$Q68*$V$12+$R68*$X$12+$S68*$W$12</f>
        <v>0.86555855071454335</v>
      </c>
      <c r="X53" s="11">
        <f>$P68*$X$11+$Q68*$W$12+$R68*$Y$12+$S68*$X$12</f>
        <v>0.73680855151618618</v>
      </c>
      <c r="Y53" s="15"/>
      <c r="Z53" s="17"/>
      <c r="AB53" s="10">
        <f t="shared" si="82"/>
        <v>0.74826388888888895</v>
      </c>
      <c r="AC53" s="10">
        <f t="shared" si="60"/>
        <v>0.83326388888888903</v>
      </c>
      <c r="AD53" s="10">
        <f t="shared" si="61"/>
        <v>0.92381944444444442</v>
      </c>
      <c r="AE53" s="10">
        <f t="shared" si="62"/>
        <v>0.88881944444444438</v>
      </c>
      <c r="AF53" s="10">
        <f t="shared" si="63"/>
        <v>0.80384272294865</v>
      </c>
      <c r="AG53" s="10">
        <f t="shared" si="64"/>
        <v>0.71780007835526416</v>
      </c>
      <c r="AH53" s="10">
        <f t="shared" si="65"/>
        <v>0.69346340601335021</v>
      </c>
      <c r="AI53" s="10">
        <f t="shared" si="66"/>
        <v>0.77500299342381629</v>
      </c>
      <c r="AJ53" s="10">
        <f t="shared" si="67"/>
        <v>0.86555855071454335</v>
      </c>
      <c r="AK53" s="10">
        <f t="shared" si="68"/>
        <v>0.73680855151618618</v>
      </c>
      <c r="AL53" s="10">
        <f t="shared" si="69"/>
        <v>0</v>
      </c>
      <c r="AM53" s="10">
        <f t="shared" si="70"/>
        <v>0</v>
      </c>
    </row>
    <row r="54" spans="14:39" ht="10.050000000000001" customHeight="1" x14ac:dyDescent="0.3">
      <c r="N54" t="s">
        <v>7</v>
      </c>
      <c r="O54" s="10">
        <f>$P69*$O$11+$Q69*$O$12+$R69*$P$12+$S69*$O$12</f>
        <v>0.7738194444444445</v>
      </c>
      <c r="P54" s="13">
        <f t="shared" ref="P54:P55" si="126">$P69*$P$12+$Q69*$O$12+$R69*$Q$12+$S69*$P$12</f>
        <v>0.78381944444444451</v>
      </c>
      <c r="Q54" s="10">
        <f t="shared" ref="Q54:Q55" si="127">$P69*$Q$11+$Q69*$P$12+$R69*$R$12+$S69*$Q$12</f>
        <v>0.84488194444444442</v>
      </c>
      <c r="R54" s="11">
        <f t="shared" ref="R54:R56" si="128">$P69*$R$11+$Q69*$Q$12+$R69*$S$12+$S69*$R$12</f>
        <v>0.88543749999999988</v>
      </c>
      <c r="S54" s="10">
        <f t="shared" ref="S54:S56" si="129">$P69*$S$12+$Q69*$R$12+$R69*$T$12+$S69*$S$12</f>
        <v>0.84437499999999988</v>
      </c>
      <c r="T54" s="11">
        <f t="shared" ref="T54:T56" si="130">$P69*$T$11+$Q69*$S$12+$R69*$U$12+$S69*$T$12</f>
        <v>0.79460778504205676</v>
      </c>
      <c r="U54" s="10">
        <f t="shared" ref="U54:U56" si="131">$P69*$U$11+$Q69*$T$12+$R69*$V$12+$S69*$U$12</f>
        <v>0.74670285309626705</v>
      </c>
      <c r="V54" s="11">
        <f t="shared" ref="V54:V56" si="132">$P69*$V$12+$Q69*$U$12+$R69*$W$12+$S69*$V$12</f>
        <v>0.72555853721110131</v>
      </c>
      <c r="W54" s="10">
        <f>$P69*$W$11+$Q69*$V$12+$R69*$X$12+$S69*$W$12</f>
        <v>0.78653697887790219</v>
      </c>
      <c r="X54" s="11">
        <f t="shared" ref="X54:X56" si="133">$P69*$X$11+$Q69*$W$12+$R69*$Y$12+$S69*$X$12</f>
        <v>0.83728428268997113</v>
      </c>
      <c r="Y54" s="15"/>
      <c r="Z54" s="18"/>
      <c r="AB54" s="10">
        <f t="shared" si="82"/>
        <v>0.7738194444444445</v>
      </c>
      <c r="AC54" s="10">
        <f t="shared" si="60"/>
        <v>0.78381944444444451</v>
      </c>
      <c r="AD54" s="10">
        <f t="shared" si="61"/>
        <v>0.84488194444444442</v>
      </c>
      <c r="AE54" s="10">
        <f t="shared" si="62"/>
        <v>0.88543749999999988</v>
      </c>
      <c r="AF54" s="10">
        <f t="shared" si="63"/>
        <v>0.84437499999999988</v>
      </c>
      <c r="AG54" s="10">
        <f t="shared" si="64"/>
        <v>0.79460778504205676</v>
      </c>
      <c r="AH54" s="10">
        <f t="shared" si="65"/>
        <v>0.74670285309626705</v>
      </c>
      <c r="AI54" s="10">
        <f t="shared" si="66"/>
        <v>0.72555853721110131</v>
      </c>
      <c r="AJ54" s="10">
        <f t="shared" si="67"/>
        <v>0.78653697887790219</v>
      </c>
      <c r="AK54" s="10">
        <f t="shared" si="68"/>
        <v>0.83728428268997113</v>
      </c>
      <c r="AL54" s="10">
        <f t="shared" si="69"/>
        <v>0</v>
      </c>
      <c r="AM54" s="10">
        <f t="shared" si="70"/>
        <v>0</v>
      </c>
    </row>
    <row r="55" spans="14:39" ht="10.050000000000001" customHeight="1" x14ac:dyDescent="0.3">
      <c r="N55" t="s">
        <v>8</v>
      </c>
      <c r="O55" s="10">
        <f t="shared" ref="O55:O56" si="134">$P70*$O$11+$Q70*$O$12+$R70*$P$12+$S70*$O$12</f>
        <v>0.81826388888888901</v>
      </c>
      <c r="P55" s="13">
        <f t="shared" si="126"/>
        <v>0.87381944444444448</v>
      </c>
      <c r="Q55" s="10">
        <f t="shared" si="127"/>
        <v>0.86188194444444444</v>
      </c>
      <c r="R55" s="11">
        <f t="shared" si="128"/>
        <v>0.81838194444444434</v>
      </c>
      <c r="S55" s="10">
        <f t="shared" si="129"/>
        <v>0.76456122803364535</v>
      </c>
      <c r="T55" s="11">
        <f t="shared" si="130"/>
        <v>0.72213344769673782</v>
      </c>
      <c r="U55" s="10">
        <f t="shared" si="131"/>
        <v>0.76000298491175922</v>
      </c>
      <c r="V55" s="11">
        <f t="shared" si="132"/>
        <v>0.81555855064741756</v>
      </c>
      <c r="W55" s="10">
        <f t="shared" ref="W55" si="135">$P70*$W$11+$Q70*$V$12+$R70*$X$12+$S70*$W$12</f>
        <v>0.80891755985453584</v>
      </c>
      <c r="X55" s="11">
        <f t="shared" si="133"/>
        <v>-0.62598998528397209</v>
      </c>
      <c r="Y55" s="15"/>
      <c r="Z55" s="18"/>
      <c r="AB55" s="10">
        <f t="shared" si="82"/>
        <v>0.81826388888888901</v>
      </c>
      <c r="AC55" s="10">
        <f t="shared" si="60"/>
        <v>0.87381944444444448</v>
      </c>
      <c r="AD55" s="10">
        <f t="shared" si="61"/>
        <v>0.86188194444444444</v>
      </c>
      <c r="AE55" s="10">
        <f t="shared" si="62"/>
        <v>0.81838194444444434</v>
      </c>
      <c r="AF55" s="10">
        <f t="shared" si="63"/>
        <v>0.76456122803364535</v>
      </c>
      <c r="AG55" s="10">
        <f t="shared" si="64"/>
        <v>0.72213344769673782</v>
      </c>
      <c r="AH55" s="10">
        <f t="shared" si="65"/>
        <v>0.76000298491175922</v>
      </c>
      <c r="AI55" s="10">
        <f t="shared" si="66"/>
        <v>0.81555855064741756</v>
      </c>
      <c r="AJ55" s="10">
        <f t="shared" si="67"/>
        <v>0.80891755985453584</v>
      </c>
      <c r="AK55" s="10">
        <f t="shared" si="68"/>
        <v>-0.62598998528397209</v>
      </c>
      <c r="AL55" s="10">
        <f t="shared" si="69"/>
        <v>0</v>
      </c>
      <c r="AM55" s="10">
        <f t="shared" si="70"/>
        <v>0</v>
      </c>
    </row>
    <row r="56" spans="14:39" ht="10.050000000000001" customHeight="1" x14ac:dyDescent="0.3">
      <c r="N56" t="s">
        <v>9</v>
      </c>
      <c r="O56" s="10">
        <f t="shared" si="134"/>
        <v>0.78381944444444451</v>
      </c>
      <c r="P56" s="13">
        <f>$P71*$P$12+$Q71*$O$12+$R71*$Q$12+$S71*$P$12</f>
        <v>0.83881944444444445</v>
      </c>
      <c r="Q56" s="10">
        <f>$P71*$Q$11+$Q71*$P$12+$R71*$R$12+$S71*$Q$12</f>
        <v>0.88031944444444432</v>
      </c>
      <c r="R56" s="11">
        <f t="shared" si="128"/>
        <v>0.84437499999999988</v>
      </c>
      <c r="S56" s="10">
        <f t="shared" si="129"/>
        <v>0.79939827850420553</v>
      </c>
      <c r="T56" s="11">
        <f t="shared" si="130"/>
        <v>0.75114730455666046</v>
      </c>
      <c r="U56" s="10">
        <f t="shared" si="131"/>
        <v>0.72555853721110131</v>
      </c>
      <c r="V56" s="11">
        <f t="shared" si="132"/>
        <v>0.78055855044682365</v>
      </c>
      <c r="W56" s="10">
        <f>$P71*$W$11+$Q71*$V$12+$R71*$X$12+$S71*$W$12</f>
        <v>0.82273112329457088</v>
      </c>
      <c r="X56" s="11">
        <f t="shared" si="133"/>
        <v>0.61755584894282523</v>
      </c>
      <c r="Y56" s="15"/>
      <c r="Z56" s="18"/>
      <c r="AB56" s="10">
        <f t="shared" si="82"/>
        <v>0.78381944444444451</v>
      </c>
      <c r="AC56" s="10">
        <f t="shared" si="60"/>
        <v>0.83881944444444445</v>
      </c>
      <c r="AD56" s="10">
        <f t="shared" si="61"/>
        <v>0.88031944444444432</v>
      </c>
      <c r="AE56" s="10">
        <f t="shared" si="62"/>
        <v>0.84437499999999988</v>
      </c>
      <c r="AF56" s="10">
        <f t="shared" si="63"/>
        <v>0.79939827850420553</v>
      </c>
      <c r="AG56" s="10">
        <f t="shared" si="64"/>
        <v>0.75114730455666046</v>
      </c>
      <c r="AH56" s="10">
        <f t="shared" si="65"/>
        <v>0.72555853721110131</v>
      </c>
      <c r="AI56" s="10">
        <f t="shared" si="66"/>
        <v>0.78055855044682365</v>
      </c>
      <c r="AJ56" s="10">
        <f t="shared" si="67"/>
        <v>0.82273112329457088</v>
      </c>
      <c r="AK56" s="10">
        <f t="shared" si="68"/>
        <v>0.61755584894282523</v>
      </c>
      <c r="AL56" s="10">
        <f t="shared" si="69"/>
        <v>0</v>
      </c>
      <c r="AM56" s="10">
        <f t="shared" si="70"/>
        <v>0</v>
      </c>
    </row>
    <row r="57" spans="14:39" ht="10.050000000000001" customHeight="1" x14ac:dyDescent="0.3"/>
    <row r="58" spans="14:39" ht="10.050000000000001" customHeight="1" x14ac:dyDescent="0.3"/>
    <row r="59" spans="14:39" ht="10.050000000000001" customHeight="1" x14ac:dyDescent="0.3"/>
    <row r="60" spans="14:39" ht="10.050000000000001" customHeight="1" x14ac:dyDescent="0.3"/>
    <row r="61" spans="14:39" ht="10.050000000000001" customHeight="1" x14ac:dyDescent="0.3"/>
    <row r="62" spans="14:39" ht="10.050000000000001" customHeight="1" x14ac:dyDescent="0.3"/>
    <row r="63" spans="14:39" ht="10.050000000000001" customHeight="1" x14ac:dyDescent="0.3"/>
    <row r="64" spans="14:39" ht="4.95" customHeight="1" x14ac:dyDescent="0.3"/>
    <row r="65" spans="15:26" x14ac:dyDescent="0.3"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5:26" x14ac:dyDescent="0.3">
      <c r="O66" s="20" t="s">
        <v>0</v>
      </c>
      <c r="P66" s="20"/>
      <c r="Q66" s="20"/>
      <c r="R66" s="20"/>
      <c r="S66" s="20"/>
      <c r="T66" s="20"/>
      <c r="U66" s="1"/>
      <c r="V66" s="1"/>
      <c r="W66" s="1"/>
      <c r="X66" s="1"/>
      <c r="Y66" s="1"/>
      <c r="Z66" s="1"/>
    </row>
    <row r="67" spans="15:26" x14ac:dyDescent="0.3">
      <c r="O67" s="1" t="s">
        <v>1</v>
      </c>
      <c r="P67" s="1" t="s">
        <v>2</v>
      </c>
      <c r="Q67" s="1" t="s">
        <v>3</v>
      </c>
      <c r="R67" s="1" t="s">
        <v>4</v>
      </c>
      <c r="S67" s="1" t="s">
        <v>5</v>
      </c>
      <c r="U67" s="1"/>
      <c r="V67" s="1"/>
      <c r="W67" s="1"/>
      <c r="X67" s="1"/>
      <c r="Y67" s="1"/>
      <c r="Z67" s="1"/>
    </row>
    <row r="68" spans="15:26" x14ac:dyDescent="0.3">
      <c r="O68" s="1" t="s">
        <v>2</v>
      </c>
      <c r="P68" s="1">
        <v>0.8</v>
      </c>
      <c r="Q68" s="1">
        <v>0.1</v>
      </c>
      <c r="R68" s="1">
        <v>0.1</v>
      </c>
      <c r="S68" s="1">
        <v>0</v>
      </c>
      <c r="U68" s="1"/>
      <c r="V68" s="1"/>
      <c r="W68" s="1"/>
      <c r="X68" s="1"/>
      <c r="Y68" s="1"/>
      <c r="Z68" s="1"/>
    </row>
    <row r="69" spans="15:26" x14ac:dyDescent="0.3">
      <c r="O69" t="s">
        <v>3</v>
      </c>
      <c r="P69">
        <v>0.1</v>
      </c>
      <c r="Q69">
        <v>0.9</v>
      </c>
      <c r="R69">
        <v>0</v>
      </c>
      <c r="S69">
        <v>0</v>
      </c>
    </row>
    <row r="70" spans="15:26" x14ac:dyDescent="0.3">
      <c r="O70" t="s">
        <v>4</v>
      </c>
      <c r="P70">
        <v>0.1</v>
      </c>
      <c r="Q70">
        <v>0</v>
      </c>
      <c r="R70">
        <v>0.8</v>
      </c>
      <c r="S70">
        <v>0.1</v>
      </c>
    </row>
    <row r="71" spans="15:26" x14ac:dyDescent="0.3">
      <c r="O71" t="s">
        <v>5</v>
      </c>
      <c r="P71">
        <v>0</v>
      </c>
      <c r="Q71">
        <v>0</v>
      </c>
      <c r="R71">
        <v>0.1</v>
      </c>
      <c r="S71">
        <v>0.9</v>
      </c>
    </row>
  </sheetData>
  <mergeCells count="5">
    <mergeCell ref="O66:T66"/>
    <mergeCell ref="B1:M1"/>
    <mergeCell ref="O1:Z1"/>
    <mergeCell ref="AB1:AM1"/>
    <mergeCell ref="AO1:AZ1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Job</dc:creator>
  <cp:lastModifiedBy>Job</cp:lastModifiedBy>
  <dcterms:created xsi:type="dcterms:W3CDTF">2012-04-02T15:43:56Z</dcterms:created>
  <dcterms:modified xsi:type="dcterms:W3CDTF">2012-04-04T04:34:15Z</dcterms:modified>
</cp:coreProperties>
</file>