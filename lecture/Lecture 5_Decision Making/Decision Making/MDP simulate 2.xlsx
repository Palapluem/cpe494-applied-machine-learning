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45" windowWidth="28755" windowHeight="128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G3" i="1"/>
  <c r="AE3"/>
  <c r="AG2"/>
  <c r="N14"/>
  <c r="T14" s="1"/>
  <c r="O14"/>
  <c r="U14" s="1"/>
  <c r="P14"/>
  <c r="V14" s="1"/>
  <c r="Q14"/>
  <c r="W14" s="1"/>
  <c r="Q16"/>
  <c r="W16" s="1"/>
  <c r="N7"/>
  <c r="T7" s="1"/>
  <c r="O7"/>
  <c r="U7" s="1"/>
  <c r="P7"/>
  <c r="V7" s="1"/>
  <c r="Q15"/>
  <c r="W15" s="1"/>
  <c r="Q13"/>
  <c r="P15"/>
  <c r="V15" s="1"/>
  <c r="P13"/>
  <c r="V13" s="1"/>
  <c r="P16"/>
  <c r="V16" s="1"/>
  <c r="O15"/>
  <c r="U15" s="1"/>
  <c r="O13"/>
  <c r="U13" s="1"/>
  <c r="O16"/>
  <c r="U16" s="1"/>
  <c r="P12"/>
  <c r="V12" s="1"/>
  <c r="P11"/>
  <c r="V11" s="1"/>
  <c r="N10"/>
  <c r="T10" s="1"/>
  <c r="P10"/>
  <c r="V10" s="1"/>
  <c r="P9"/>
  <c r="V9" s="1"/>
  <c r="N15"/>
  <c r="T15" s="1"/>
  <c r="N13"/>
  <c r="T13" s="1"/>
  <c r="N16"/>
  <c r="T16" s="1"/>
  <c r="N12"/>
  <c r="T12" s="1"/>
  <c r="N11"/>
  <c r="T11" s="1"/>
  <c r="N9"/>
  <c r="T9" s="1"/>
  <c r="O8"/>
  <c r="U8" s="1"/>
  <c r="P8"/>
  <c r="V8" s="1"/>
  <c r="P6"/>
  <c r="V6" s="1"/>
  <c r="O6"/>
  <c r="U6" s="1"/>
  <c r="P5"/>
  <c r="O5"/>
  <c r="N8"/>
  <c r="T8" s="1"/>
  <c r="N6"/>
  <c r="T6" s="1"/>
  <c r="N5"/>
  <c r="T5" s="1"/>
  <c r="H3"/>
  <c r="H2"/>
  <c r="I2"/>
  <c r="J2"/>
  <c r="J3"/>
  <c r="K4"/>
  <c r="J4"/>
  <c r="I4"/>
  <c r="H4"/>
  <c r="Q4" l="1"/>
  <c r="AB4" s="1"/>
  <c r="AG4" s="1"/>
  <c r="T4"/>
  <c r="N4"/>
  <c r="Y4" s="1"/>
  <c r="AD4" s="1"/>
  <c r="W13"/>
  <c r="W4" s="1"/>
  <c r="U4"/>
  <c r="V4"/>
  <c r="O4"/>
  <c r="Z4" s="1"/>
  <c r="AE4" s="1"/>
  <c r="P4"/>
  <c r="AA4" s="1"/>
  <c r="AF4" s="1"/>
  <c r="V3"/>
  <c r="P2"/>
  <c r="AA2" s="1"/>
  <c r="AF2" s="1"/>
  <c r="P3"/>
  <c r="AA3" s="1"/>
  <c r="AF3" s="1"/>
  <c r="T2"/>
  <c r="O2"/>
  <c r="Z2" s="1"/>
  <c r="AE2" s="1"/>
  <c r="V5"/>
  <c r="V2" s="1"/>
  <c r="T3"/>
  <c r="N3"/>
  <c r="Y3" s="1"/>
  <c r="AD3" s="1"/>
  <c r="U5"/>
  <c r="U2" s="1"/>
  <c r="N2"/>
  <c r="Y2" s="1"/>
  <c r="AD2" s="1"/>
  <c r="AH2" l="1"/>
  <c r="AH3"/>
  <c r="AH4"/>
  <c r="AH5" l="1"/>
</calcChain>
</file>

<file path=xl/sharedStrings.xml><?xml version="1.0" encoding="utf-8"?>
<sst xmlns="http://schemas.openxmlformats.org/spreadsheetml/2006/main" count="29" uniqueCount="9">
  <si>
    <t>U</t>
  </si>
  <si>
    <t>R</t>
  </si>
  <si>
    <t>^</t>
  </si>
  <si>
    <t>&lt;</t>
  </si>
  <si>
    <t>&gt;</t>
  </si>
  <si>
    <t>v</t>
  </si>
  <si>
    <t>Max A</t>
  </si>
  <si>
    <t>Action</t>
  </si>
  <si>
    <t>New U</t>
  </si>
</sst>
</file>

<file path=xl/styles.xml><?xml version="1.0" encoding="utf-8"?>
<styleSheet xmlns="http://schemas.openxmlformats.org/spreadsheetml/2006/main">
  <numFmts count="1">
    <numFmt numFmtId="187" formatCode="0.000"/>
  </numFmts>
  <fonts count="4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22"/>
      <color theme="1"/>
      <name val="Tahoma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0" xfId="0" applyFill="1"/>
    <xf numFmtId="0" fontId="0" fillId="0" borderId="0" xfId="0" applyFill="1" applyBorder="1" applyAlignment="1">
      <alignment horizontal="center" vertical="center"/>
    </xf>
    <xf numFmtId="0" fontId="0" fillId="7" borderId="0" xfId="0" applyFill="1"/>
    <xf numFmtId="187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87" fontId="2" fillId="8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0" fillId="0" borderId="0" xfId="0" applyFill="1"/>
    <xf numFmtId="187" fontId="0" fillId="2" borderId="1" xfId="0" applyNumberFormat="1" applyFill="1" applyBorder="1" applyAlignment="1">
      <alignment horizontal="center" vertical="center"/>
    </xf>
    <xf numFmtId="187" fontId="0" fillId="3" borderId="1" xfId="0" applyNumberFormat="1" applyFill="1" applyBorder="1" applyAlignment="1">
      <alignment horizontal="center" vertical="center"/>
    </xf>
    <xf numFmtId="0" fontId="0" fillId="0" borderId="0" xfId="0" applyFill="1" applyBorder="1"/>
    <xf numFmtId="1" fontId="0" fillId="10" borderId="0" xfId="0" applyNumberFormat="1" applyFill="1" applyAlignment="1">
      <alignment horizontal="center" vertical="center"/>
    </xf>
    <xf numFmtId="1" fontId="0" fillId="0" borderId="0" xfId="0" applyNumberFormat="1"/>
    <xf numFmtId="1" fontId="0" fillId="11" borderId="0" xfId="0" applyNumberFormat="1" applyFill="1"/>
    <xf numFmtId="187" fontId="0" fillId="0" borderId="0" xfId="0" applyNumberFormat="1" applyFill="1"/>
    <xf numFmtId="0" fontId="3" fillId="0" borderId="2" xfId="0" applyFont="1" applyBorder="1" applyAlignment="1">
      <alignment horizontal="center"/>
    </xf>
    <xf numFmtId="187" fontId="2" fillId="2" borderId="1" xfId="0" applyNumberFormat="1" applyFont="1" applyFill="1" applyBorder="1" applyAlignment="1">
      <alignment horizontal="center" vertical="center"/>
    </xf>
    <xf numFmtId="187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6</xdr:row>
      <xdr:rowOff>171450</xdr:rowOff>
    </xdr:from>
    <xdr:to>
      <xdr:col>7</xdr:col>
      <xdr:colOff>247650</xdr:colOff>
      <xdr:row>10</xdr:row>
      <xdr:rowOff>133350</xdr:rowOff>
    </xdr:to>
    <xdr:sp macro="[0]!Macro1" textlink="">
      <xdr:nvSpPr>
        <xdr:cNvPr id="2" name="Rounded Rectangle 1"/>
        <xdr:cNvSpPr/>
      </xdr:nvSpPr>
      <xdr:spPr>
        <a:xfrm>
          <a:off x="1971675" y="2171700"/>
          <a:ext cx="1704975" cy="685800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36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</a:rPr>
            <a:t>Step</a:t>
          </a:r>
          <a:endParaRPr lang="th-TH" sz="36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</a:endParaRPr>
        </a:p>
      </xdr:txBody>
    </xdr:sp>
    <xdr:clientData/>
  </xdr:twoCellAnchor>
  <xdr:twoCellAnchor>
    <xdr:from>
      <xdr:col>0</xdr:col>
      <xdr:colOff>219075</xdr:colOff>
      <xdr:row>6</xdr:row>
      <xdr:rowOff>171450</xdr:rowOff>
    </xdr:from>
    <xdr:to>
      <xdr:col>3</xdr:col>
      <xdr:colOff>180975</xdr:colOff>
      <xdr:row>10</xdr:row>
      <xdr:rowOff>114300</xdr:rowOff>
    </xdr:to>
    <xdr:sp macro="[0]!Macro2" textlink="">
      <xdr:nvSpPr>
        <xdr:cNvPr id="3" name="Rounded Rectangle 2"/>
        <xdr:cNvSpPr/>
      </xdr:nvSpPr>
      <xdr:spPr>
        <a:xfrm>
          <a:off x="219075" y="2171700"/>
          <a:ext cx="1581150" cy="6667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36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</a:rPr>
            <a:t>Clear</a:t>
          </a:r>
          <a:endParaRPr lang="th-TH" sz="14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</a:endParaRPr>
        </a:p>
      </xdr:txBody>
    </xdr:sp>
    <xdr:clientData/>
  </xdr:twoCellAnchor>
  <xdr:twoCellAnchor>
    <xdr:from>
      <xdr:col>7</xdr:col>
      <xdr:colOff>419100</xdr:colOff>
      <xdr:row>6</xdr:row>
      <xdr:rowOff>161925</xdr:rowOff>
    </xdr:from>
    <xdr:to>
      <xdr:col>10</xdr:col>
      <xdr:colOff>381000</xdr:colOff>
      <xdr:row>10</xdr:row>
      <xdr:rowOff>152400</xdr:rowOff>
    </xdr:to>
    <xdr:sp macro="[0]!Macro3" textlink="">
      <xdr:nvSpPr>
        <xdr:cNvPr id="4" name="Rounded Rectangle 3"/>
        <xdr:cNvSpPr/>
      </xdr:nvSpPr>
      <xdr:spPr>
        <a:xfrm>
          <a:off x="3848100" y="2162175"/>
          <a:ext cx="2019300" cy="71437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40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</a:rPr>
            <a:t>Run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AH22"/>
  <sheetViews>
    <sheetView tabSelected="1" workbookViewId="0">
      <selection activeCell="B4" sqref="B4"/>
    </sheetView>
  </sheetViews>
  <sheetFormatPr defaultRowHeight="14.25"/>
  <cols>
    <col min="1" max="1" width="3.25" customWidth="1"/>
    <col min="6" max="7" width="2.875" customWidth="1"/>
    <col min="12" max="12" width="2.875" customWidth="1"/>
    <col min="13" max="13" width="3.125" customWidth="1"/>
    <col min="18" max="19" width="3" customWidth="1"/>
    <col min="24" max="24" width="3.25" customWidth="1"/>
    <col min="29" max="29" width="3.875" customWidth="1"/>
    <col min="30" max="33" width="3.75" customWidth="1"/>
    <col min="34" max="34" width="2.875" customWidth="1"/>
  </cols>
  <sheetData>
    <row r="1" spans="2:34" ht="27">
      <c r="B1" s="23" t="s">
        <v>0</v>
      </c>
      <c r="C1" s="23"/>
      <c r="D1" s="23"/>
      <c r="E1" s="23"/>
      <c r="H1" s="23" t="s">
        <v>1</v>
      </c>
      <c r="I1" s="23"/>
      <c r="J1" s="23"/>
      <c r="K1" s="23"/>
      <c r="N1" s="23" t="s">
        <v>6</v>
      </c>
      <c r="O1" s="23"/>
      <c r="P1" s="23"/>
      <c r="Q1" s="23"/>
      <c r="T1" s="23" t="s">
        <v>7</v>
      </c>
      <c r="U1" s="23"/>
      <c r="V1" s="23"/>
      <c r="W1" s="23"/>
      <c r="Y1" s="23" t="s">
        <v>8</v>
      </c>
      <c r="Z1" s="23"/>
      <c r="AA1" s="23"/>
      <c r="AB1" s="23"/>
    </row>
    <row r="2" spans="2:34" ht="36" customHeight="1">
      <c r="B2" s="24">
        <v>0</v>
      </c>
      <c r="C2" s="24">
        <v>0</v>
      </c>
      <c r="D2" s="24">
        <v>0</v>
      </c>
      <c r="E2" s="1">
        <v>1</v>
      </c>
      <c r="H2" s="3">
        <f>-1/25</f>
        <v>-0.04</v>
      </c>
      <c r="I2" s="3">
        <f>-1/25</f>
        <v>-0.04</v>
      </c>
      <c r="J2" s="3">
        <f>-1/25</f>
        <v>-0.04</v>
      </c>
      <c r="K2" s="1">
        <v>1</v>
      </c>
      <c r="M2" s="6"/>
      <c r="N2" s="16">
        <f>MAX(N5:N8)</f>
        <v>0</v>
      </c>
      <c r="O2" s="16">
        <f t="shared" ref="O2:P2" si="0">MAX(O5:O8)</f>
        <v>0</v>
      </c>
      <c r="P2" s="16">
        <f t="shared" si="0"/>
        <v>0.8</v>
      </c>
      <c r="Q2" s="14">
        <v>1</v>
      </c>
      <c r="T2" s="26" t="str">
        <f>IF(MAX(T5:T8)=T5,$M$5,IF(MAX(T5:T8)=T6,$M$6,IF(MAX(T5:T8)=T7,$M$7,$M$8)))</f>
        <v>^</v>
      </c>
      <c r="U2" s="26" t="str">
        <f>IF(MAX($U5:$U8)=$U5,$M$5,IF(MAX($U5:$U8)=$U6,$M$6,IF(MAX($U5:$U8)=$U7,$M$7,$M$8)))</f>
        <v>^</v>
      </c>
      <c r="V2" s="26" t="str">
        <f>IF(MAX(V5:V8)=V5,$M$5,IF(MAX(V5:V8)=V6,$M$6,IF(MAX(V5:V8)=V7,$M$7,$M$8)))</f>
        <v>&gt;</v>
      </c>
      <c r="W2" s="1">
        <v>1</v>
      </c>
      <c r="Y2" s="13">
        <f>N2-0.04</f>
        <v>-0.04</v>
      </c>
      <c r="Z2" s="13">
        <f t="shared" ref="Z2:AA2" si="1">O2-0.04</f>
        <v>-0.04</v>
      </c>
      <c r="AA2" s="13">
        <f t="shared" si="1"/>
        <v>0.76</v>
      </c>
      <c r="AB2" s="9">
        <v>1</v>
      </c>
      <c r="AD2" s="19">
        <f>ROUND(100*(Y2-B2),3)</f>
        <v>-4</v>
      </c>
      <c r="AE2" s="19">
        <f t="shared" ref="AE2:AE4" si="2">ROUND(100*(Z2-C2),3)</f>
        <v>-4</v>
      </c>
      <c r="AF2" s="19">
        <f t="shared" ref="AF2:AF4" si="3">ROUND(100*(AA2-D2),3)</f>
        <v>76</v>
      </c>
      <c r="AG2" s="19">
        <f t="shared" ref="AG2:AG4" si="4">ROUND(100*(AB2-E2),3)</f>
        <v>0</v>
      </c>
      <c r="AH2" s="20">
        <f>SUM(AD2:AG2)</f>
        <v>68</v>
      </c>
    </row>
    <row r="3" spans="2:34" ht="39" customHeight="1">
      <c r="B3" s="24">
        <v>0</v>
      </c>
      <c r="C3" s="25"/>
      <c r="D3" s="24">
        <v>0</v>
      </c>
      <c r="E3" s="2">
        <v>-1</v>
      </c>
      <c r="H3" s="3">
        <f>-1/25</f>
        <v>-0.04</v>
      </c>
      <c r="I3" s="4"/>
      <c r="J3" s="3">
        <f>-1/25</f>
        <v>-0.04</v>
      </c>
      <c r="K3" s="2">
        <v>-1</v>
      </c>
      <c r="N3" s="16">
        <f>MAX(N9:N12)</f>
        <v>0</v>
      </c>
      <c r="O3" s="17"/>
      <c r="P3" s="16">
        <f>MAX(P9:P12)</f>
        <v>0</v>
      </c>
      <c r="Q3" s="2">
        <v>-1</v>
      </c>
      <c r="T3" s="26" t="str">
        <f>IF(MAX(T9:T12)=T9,$M$9,IF(MAX(T9:T12)=T10,$M$10,IF(MAX(T9:T12)=T11,$M$11,$M$12)))</f>
        <v>^</v>
      </c>
      <c r="U3" s="10"/>
      <c r="V3" s="26" t="str">
        <f>IF(MAX(V9:V12)=V9,$M$9,IF(MAX(V9:V12)=V10,$M$10,IF(MAX(V9:V12)=V11,$M$11,$M$12)))</f>
        <v>&lt;</v>
      </c>
      <c r="W3" s="2">
        <v>-1</v>
      </c>
      <c r="Y3" s="13">
        <f>N3-0.04</f>
        <v>-0.04</v>
      </c>
      <c r="Z3" s="12"/>
      <c r="AA3" s="13">
        <f>P3-0.04</f>
        <v>-0.04</v>
      </c>
      <c r="AB3" s="11">
        <v>-1</v>
      </c>
      <c r="AD3" s="19">
        <f t="shared" ref="AD3:AD4" si="5">ROUND(100*(Y3-B3),3)</f>
        <v>-4</v>
      </c>
      <c r="AE3" s="19">
        <f t="shared" si="2"/>
        <v>0</v>
      </c>
      <c r="AF3" s="19">
        <f t="shared" si="3"/>
        <v>-4</v>
      </c>
      <c r="AG3" s="19">
        <f t="shared" si="4"/>
        <v>0</v>
      </c>
      <c r="AH3" s="20">
        <f>SUM(AD3:AG3)</f>
        <v>-8</v>
      </c>
    </row>
    <row r="4" spans="2:34" ht="39.75" customHeight="1">
      <c r="B4" s="24">
        <v>0</v>
      </c>
      <c r="C4" s="24">
        <v>0</v>
      </c>
      <c r="D4" s="24">
        <v>0</v>
      </c>
      <c r="E4" s="24">
        <v>0</v>
      </c>
      <c r="H4" s="3">
        <f>-1/25</f>
        <v>-0.04</v>
      </c>
      <c r="I4" s="3">
        <f>-1/25</f>
        <v>-0.04</v>
      </c>
      <c r="J4" s="3">
        <f>-1/25</f>
        <v>-0.04</v>
      </c>
      <c r="K4" s="3">
        <f>-1/25</f>
        <v>-0.04</v>
      </c>
      <c r="N4" s="16">
        <f>MAX(N13:N16)</f>
        <v>0</v>
      </c>
      <c r="O4" s="16">
        <f t="shared" ref="O4:Q4" si="6">MAX(O13:O16)</f>
        <v>0</v>
      </c>
      <c r="P4" s="16">
        <f t="shared" si="6"/>
        <v>0</v>
      </c>
      <c r="Q4" s="16">
        <f t="shared" si="6"/>
        <v>0</v>
      </c>
      <c r="T4" s="26" t="str">
        <f>IF(MAX(T$13:T$16)=T$13,$M$13,IF(MAX(T$13:T$16)=T$14,$M$14,IF(MAX(T$13:T$16)=T$15,$M$15,$M$16)))</f>
        <v>^</v>
      </c>
      <c r="U4" s="26" t="str">
        <f>IF(MAX(U$13:U$16)=U$13,$M$13,IF(MAX(U$13:U$16)=U$14,$M$14,IF(MAX(U$13:U$16)=U$15,$M$15,$M$16)))</f>
        <v>^</v>
      </c>
      <c r="V4" s="26" t="str">
        <f>IF(MAX(V$13:V$16)=V$13,$M$13,IF(MAX(V$13:V$16)=V$14,$M$14,IF(MAX(V$13:V$16)=V$15,$M$15,$M$16)))</f>
        <v>^</v>
      </c>
      <c r="W4" s="26" t="str">
        <f>IF(MAX(W$13:W$16)=W$13,$M$13,IF(MAX(W$13:W$16)=W$14,$M$14,IF(MAX(W$13:W$16)=W$15,$M$15,$M$16)))</f>
        <v>v</v>
      </c>
      <c r="Y4" s="13">
        <f t="shared" ref="Y4:AB4" si="7">N4-0.04</f>
        <v>-0.04</v>
      </c>
      <c r="Z4" s="13">
        <f t="shared" si="7"/>
        <v>-0.04</v>
      </c>
      <c r="AA4" s="13">
        <f t="shared" si="7"/>
        <v>-0.04</v>
      </c>
      <c r="AB4" s="13">
        <f t="shared" si="7"/>
        <v>-0.04</v>
      </c>
      <c r="AD4" s="19">
        <f t="shared" si="5"/>
        <v>-4</v>
      </c>
      <c r="AE4" s="19">
        <f t="shared" si="2"/>
        <v>-4</v>
      </c>
      <c r="AF4" s="19">
        <f t="shared" si="3"/>
        <v>-4</v>
      </c>
      <c r="AG4" s="19">
        <f t="shared" si="4"/>
        <v>-4</v>
      </c>
      <c r="AH4" s="20">
        <f>SUM(AD4:AG4)</f>
        <v>-16</v>
      </c>
    </row>
    <row r="5" spans="2:34">
      <c r="M5" t="s">
        <v>2</v>
      </c>
      <c r="N5" s="5">
        <f>0.8*B2+0.1*B2+0.1*C2</f>
        <v>0</v>
      </c>
      <c r="O5" s="7">
        <f>0.8*C2+0.1*B2+0.1*D2</f>
        <v>0</v>
      </c>
      <c r="P5" s="5">
        <f>0.8*D2+0.1*C2+0.1*E2</f>
        <v>0.1</v>
      </c>
      <c r="S5" t="s">
        <v>2</v>
      </c>
      <c r="T5" s="5">
        <f>N5</f>
        <v>0</v>
      </c>
      <c r="U5" s="7">
        <f t="shared" ref="U5:U16" si="8">O5</f>
        <v>0</v>
      </c>
      <c r="V5" s="5">
        <f t="shared" ref="V5:V16" si="9">P5</f>
        <v>0.1</v>
      </c>
      <c r="W5" s="8"/>
      <c r="AH5" s="21">
        <f>SUM(AH2:AH4)</f>
        <v>44</v>
      </c>
    </row>
    <row r="6" spans="2:34">
      <c r="M6" t="s">
        <v>3</v>
      </c>
      <c r="N6" s="5">
        <f>0.9*B2+0.1*B2</f>
        <v>0</v>
      </c>
      <c r="O6" s="7">
        <f>0.9*B2+0.1*C2</f>
        <v>0</v>
      </c>
      <c r="P6" s="5">
        <f>0.9*C2+0.1*D2</f>
        <v>0</v>
      </c>
      <c r="S6" t="s">
        <v>3</v>
      </c>
      <c r="T6" s="5">
        <f t="shared" ref="T6:T16" si="10">N6</f>
        <v>0</v>
      </c>
      <c r="U6" s="7">
        <f t="shared" si="8"/>
        <v>0</v>
      </c>
      <c r="V6" s="5">
        <f t="shared" si="9"/>
        <v>0</v>
      </c>
    </row>
    <row r="7" spans="2:34">
      <c r="M7" t="s">
        <v>4</v>
      </c>
      <c r="N7" s="5">
        <f>0.8*C2+0.1*B2+0.1*B3</f>
        <v>0</v>
      </c>
      <c r="O7" s="7">
        <f>0.8*D2+0.1*C2+0.1*C2</f>
        <v>0</v>
      </c>
      <c r="P7" s="5">
        <f>0.8*E2+0.1*D3+0.1*D2</f>
        <v>0.8</v>
      </c>
      <c r="S7" t="s">
        <v>4</v>
      </c>
      <c r="T7" s="5">
        <f t="shared" si="10"/>
        <v>0</v>
      </c>
      <c r="U7" s="7">
        <f t="shared" si="8"/>
        <v>0</v>
      </c>
      <c r="V7" s="5">
        <f t="shared" si="9"/>
        <v>0.8</v>
      </c>
    </row>
    <row r="8" spans="2:34">
      <c r="M8" t="s">
        <v>5</v>
      </c>
      <c r="N8" s="5">
        <f>0.9*B3+0.1*C2</f>
        <v>0</v>
      </c>
      <c r="O8" s="7">
        <f>0.9*C2+0.1*D2</f>
        <v>0</v>
      </c>
      <c r="P8" s="5">
        <f>0.9*D3+0.1*E2</f>
        <v>0.1</v>
      </c>
      <c r="S8" t="s">
        <v>5</v>
      </c>
      <c r="T8" s="5">
        <f t="shared" si="10"/>
        <v>0</v>
      </c>
      <c r="U8" s="7">
        <f t="shared" si="8"/>
        <v>0</v>
      </c>
      <c r="V8" s="5">
        <f t="shared" si="9"/>
        <v>0.1</v>
      </c>
    </row>
    <row r="9" spans="2:34">
      <c r="M9" t="s">
        <v>2</v>
      </c>
      <c r="N9" s="7">
        <f>0.8*B2+0.1*B3+0.1*B3</f>
        <v>0</v>
      </c>
      <c r="P9" s="7">
        <f>0.8*D2+0.1*D3+0.1*E3</f>
        <v>-0.1</v>
      </c>
      <c r="S9" t="s">
        <v>2</v>
      </c>
      <c r="T9" s="7">
        <f t="shared" si="10"/>
        <v>0</v>
      </c>
      <c r="U9" s="15"/>
      <c r="V9" s="7">
        <f t="shared" si="9"/>
        <v>-0.1</v>
      </c>
    </row>
    <row r="10" spans="2:34">
      <c r="M10" t="s">
        <v>3</v>
      </c>
      <c r="N10" s="7">
        <f>0.9*B3+0.1*B2</f>
        <v>0</v>
      </c>
      <c r="P10" s="7">
        <f>0.9*D3+0.1*D2</f>
        <v>0</v>
      </c>
      <c r="S10" t="s">
        <v>3</v>
      </c>
      <c r="T10" s="7">
        <f t="shared" si="10"/>
        <v>0</v>
      </c>
      <c r="U10" s="15"/>
      <c r="V10" s="7">
        <f t="shared" si="9"/>
        <v>0</v>
      </c>
    </row>
    <row r="11" spans="2:34">
      <c r="M11" t="s">
        <v>4</v>
      </c>
      <c r="N11" s="7">
        <f>0.8*B3+0.1*B3+0.1*B2</f>
        <v>0</v>
      </c>
      <c r="P11" s="7">
        <f>0.8*E3+0.1*D3+0.1*D2</f>
        <v>-0.8</v>
      </c>
      <c r="S11" t="s">
        <v>4</v>
      </c>
      <c r="T11" s="7">
        <f t="shared" si="10"/>
        <v>0</v>
      </c>
      <c r="U11" s="15"/>
      <c r="V11" s="7">
        <f t="shared" si="9"/>
        <v>-0.8</v>
      </c>
      <c r="W11" s="15"/>
    </row>
    <row r="12" spans="2:34">
      <c r="M12" t="s">
        <v>5</v>
      </c>
      <c r="N12" s="7">
        <f>0.9*B4+0.1*B3</f>
        <v>0</v>
      </c>
      <c r="P12" s="7">
        <f>0.9*D4+0.1*E3</f>
        <v>-0.1</v>
      </c>
      <c r="S12" t="s">
        <v>5</v>
      </c>
      <c r="T12" s="7">
        <f t="shared" si="10"/>
        <v>0</v>
      </c>
      <c r="U12" s="15"/>
      <c r="V12" s="7">
        <f t="shared" si="9"/>
        <v>-0.1</v>
      </c>
      <c r="W12" s="15"/>
    </row>
    <row r="13" spans="2:34">
      <c r="M13" t="s">
        <v>2</v>
      </c>
      <c r="N13" s="5">
        <f>0.8*B3+0.1*B4+0.1*C4</f>
        <v>0</v>
      </c>
      <c r="O13" s="7">
        <f>0.8*C4+0.1*B4+0.1*D4</f>
        <v>0</v>
      </c>
      <c r="P13" s="5">
        <f>0.8*D3+0.1*C4+0.1*E4</f>
        <v>0</v>
      </c>
      <c r="Q13" s="7">
        <f>0.8*E3+0.1*D4+0.1*E4</f>
        <v>-0.8</v>
      </c>
      <c r="S13" t="s">
        <v>2</v>
      </c>
      <c r="T13" s="5">
        <f t="shared" si="10"/>
        <v>0</v>
      </c>
      <c r="U13" s="7">
        <f t="shared" si="8"/>
        <v>0</v>
      </c>
      <c r="V13" s="5">
        <f t="shared" si="9"/>
        <v>0</v>
      </c>
      <c r="W13" s="7">
        <f t="shared" ref="W13:W16" si="11">Q13</f>
        <v>-0.8</v>
      </c>
    </row>
    <row r="14" spans="2:34">
      <c r="M14" t="s">
        <v>3</v>
      </c>
      <c r="N14" s="5">
        <f>0.9*B4+0.1*B3</f>
        <v>0</v>
      </c>
      <c r="O14" s="7">
        <f>0.9*B4+0.1*C4</f>
        <v>0</v>
      </c>
      <c r="P14" s="5">
        <f>0.9*C4+0.1*D3</f>
        <v>0</v>
      </c>
      <c r="Q14" s="7">
        <f>0.9*D4+0.1*E3</f>
        <v>-0.1</v>
      </c>
      <c r="S14" t="s">
        <v>3</v>
      </c>
      <c r="T14" s="5">
        <f t="shared" si="10"/>
        <v>0</v>
      </c>
      <c r="U14" s="7">
        <f t="shared" si="8"/>
        <v>0</v>
      </c>
      <c r="V14" s="5">
        <f t="shared" si="9"/>
        <v>0</v>
      </c>
      <c r="W14" s="7">
        <f t="shared" si="11"/>
        <v>-0.1</v>
      </c>
    </row>
    <row r="15" spans="2:34">
      <c r="M15" t="s">
        <v>4</v>
      </c>
      <c r="N15" s="5">
        <f>0.8*C4+0.1*B4+0.1*B3</f>
        <v>0</v>
      </c>
      <c r="O15" s="7">
        <f>0.8*D4+0.1*B4+0.1*C4</f>
        <v>0</v>
      </c>
      <c r="P15" s="5">
        <f>0.8*E4+0.1*C4+0.1*D3</f>
        <v>0</v>
      </c>
      <c r="Q15" s="7">
        <f>0.8*E4+0.1*D4+0.1*E3</f>
        <v>-0.1</v>
      </c>
      <c r="S15" t="s">
        <v>4</v>
      </c>
      <c r="T15" s="5">
        <f t="shared" si="10"/>
        <v>0</v>
      </c>
      <c r="U15" s="7">
        <f t="shared" si="8"/>
        <v>0</v>
      </c>
      <c r="V15" s="5">
        <f t="shared" si="9"/>
        <v>0</v>
      </c>
      <c r="W15" s="7">
        <f t="shared" si="11"/>
        <v>-0.1</v>
      </c>
    </row>
    <row r="16" spans="2:34">
      <c r="M16" t="s">
        <v>5</v>
      </c>
      <c r="N16" s="5">
        <f>0.9*B4+0.1*C4</f>
        <v>0</v>
      </c>
      <c r="O16" s="7">
        <f>0.9*C4+0.1*D4</f>
        <v>0</v>
      </c>
      <c r="P16" s="5">
        <f>0.9*D4+0.1*E4</f>
        <v>0</v>
      </c>
      <c r="Q16" s="7">
        <f>0.9*E4+0.1*E4</f>
        <v>0</v>
      </c>
      <c r="S16" t="s">
        <v>5</v>
      </c>
      <c r="T16" s="5">
        <f t="shared" si="10"/>
        <v>0</v>
      </c>
      <c r="U16" s="7">
        <f t="shared" si="8"/>
        <v>0</v>
      </c>
      <c r="V16" s="5">
        <f t="shared" si="9"/>
        <v>0</v>
      </c>
      <c r="W16" s="7">
        <f t="shared" si="11"/>
        <v>0</v>
      </c>
    </row>
    <row r="19" spans="13:24">
      <c r="M19" s="18"/>
      <c r="N19" s="18"/>
      <c r="O19" s="18"/>
      <c r="P19" s="18"/>
      <c r="Q19" s="18"/>
      <c r="R19" s="18"/>
      <c r="S19" s="18"/>
      <c r="T19" s="18"/>
      <c r="U19" s="18"/>
    </row>
    <row r="20" spans="13:24" ht="41.25" customHeight="1">
      <c r="M20" s="18"/>
      <c r="N20" s="6"/>
      <c r="O20" s="18"/>
      <c r="P20" s="18"/>
      <c r="Q20" s="18"/>
      <c r="R20" s="18"/>
      <c r="S20" s="18"/>
      <c r="T20" s="6"/>
      <c r="U20" s="18"/>
    </row>
    <row r="21" spans="13:24" ht="41.25" customHeight="1">
      <c r="M21" s="18"/>
      <c r="N21" s="18"/>
      <c r="O21" s="18"/>
      <c r="P21" s="18"/>
      <c r="Q21" s="18"/>
      <c r="R21" s="18"/>
      <c r="S21" s="18"/>
      <c r="T21" s="18"/>
      <c r="U21" s="18"/>
    </row>
    <row r="22" spans="13:24" ht="41.25" customHeight="1">
      <c r="X22" s="22"/>
    </row>
  </sheetData>
  <mergeCells count="5">
    <mergeCell ref="H1:K1"/>
    <mergeCell ref="B1:E1"/>
    <mergeCell ref="N1:Q1"/>
    <mergeCell ref="T1:W1"/>
    <mergeCell ref="Y1:AB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Jumpol</dc:creator>
  <cp:lastModifiedBy>Jumpol</cp:lastModifiedBy>
  <dcterms:created xsi:type="dcterms:W3CDTF">2011-01-29T16:57:36Z</dcterms:created>
  <dcterms:modified xsi:type="dcterms:W3CDTF">2011-01-30T22:26:24Z</dcterms:modified>
</cp:coreProperties>
</file>