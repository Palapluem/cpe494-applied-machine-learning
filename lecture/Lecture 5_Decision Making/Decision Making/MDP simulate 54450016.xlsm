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05" windowWidth="20730" windowHeight="11700"/>
  </bookViews>
  <sheets>
    <sheet name="54450016" sheetId="3" r:id="rId1"/>
  </sheets>
  <calcPr calcId="145621"/>
</workbook>
</file>

<file path=xl/calcChain.xml><?xml version="1.0" encoding="utf-8"?>
<calcChain xmlns="http://schemas.openxmlformats.org/spreadsheetml/2006/main">
  <c r="L40" i="3" l="1"/>
  <c r="J24" i="3" l="1"/>
  <c r="L19" i="3"/>
  <c r="L18" i="3"/>
  <c r="AL9" i="3" l="1"/>
  <c r="AL5" i="3"/>
  <c r="AI2" i="3"/>
  <c r="AN2" i="3"/>
  <c r="AN3" i="3"/>
  <c r="AN4" i="3"/>
  <c r="AN5" i="3"/>
  <c r="AN6" i="3"/>
  <c r="AN7" i="3"/>
  <c r="AN8" i="3"/>
  <c r="AN9" i="3"/>
  <c r="AH8" i="3"/>
  <c r="K41" i="3"/>
  <c r="S41" i="3" s="1"/>
  <c r="L41" i="3"/>
  <c r="T41" i="3" s="1"/>
  <c r="M41" i="3"/>
  <c r="U41" i="3" s="1"/>
  <c r="O41" i="3"/>
  <c r="W41" i="3" s="1"/>
  <c r="O37" i="3"/>
  <c r="W37" i="3" s="1"/>
  <c r="N37" i="3"/>
  <c r="V37" i="3" s="1"/>
  <c r="M37" i="3"/>
  <c r="U37" i="3" s="1"/>
  <c r="L37" i="3"/>
  <c r="T37" i="3" s="1"/>
  <c r="K37" i="3"/>
  <c r="S37" i="3" s="1"/>
  <c r="O40" i="3"/>
  <c r="W40" i="3" s="1"/>
  <c r="M40" i="3"/>
  <c r="U40" i="3" s="1"/>
  <c r="T40" i="3"/>
  <c r="K40" i="3"/>
  <c r="S40" i="3" s="1"/>
  <c r="O36" i="3"/>
  <c r="W36" i="3" s="1"/>
  <c r="N36" i="3"/>
  <c r="V36" i="3" s="1"/>
  <c r="M36" i="3"/>
  <c r="U36" i="3" s="1"/>
  <c r="L36" i="3"/>
  <c r="T36" i="3" s="1"/>
  <c r="K36" i="3"/>
  <c r="S36" i="3" s="1"/>
  <c r="O39" i="3"/>
  <c r="M39" i="3"/>
  <c r="U39" i="3" s="1"/>
  <c r="L39" i="3"/>
  <c r="T39" i="3" s="1"/>
  <c r="K39" i="3"/>
  <c r="S39" i="3" s="1"/>
  <c r="O35" i="3"/>
  <c r="W35" i="3" s="1"/>
  <c r="N35" i="3"/>
  <c r="V35" i="3" s="1"/>
  <c r="M35" i="3"/>
  <c r="U35" i="3" s="1"/>
  <c r="L35" i="3"/>
  <c r="T35" i="3" s="1"/>
  <c r="K35" i="3"/>
  <c r="S35" i="3" s="1"/>
  <c r="O38" i="3"/>
  <c r="W38" i="3" s="1"/>
  <c r="M38" i="3"/>
  <c r="L38" i="3"/>
  <c r="O34" i="3"/>
  <c r="W34" i="3" s="1"/>
  <c r="N34" i="3"/>
  <c r="V34" i="3" s="1"/>
  <c r="M34" i="3"/>
  <c r="U34" i="3" s="1"/>
  <c r="L34" i="3"/>
  <c r="T34" i="3" s="1"/>
  <c r="K38" i="3"/>
  <c r="S38" i="3" s="1"/>
  <c r="K34" i="3"/>
  <c r="S34" i="3" s="1"/>
  <c r="O25" i="3"/>
  <c r="W25" i="3" s="1"/>
  <c r="O29" i="3"/>
  <c r="W29" i="3" s="1"/>
  <c r="O33" i="3"/>
  <c r="W33" i="3" s="1"/>
  <c r="N33" i="3"/>
  <c r="V33" i="3" s="1"/>
  <c r="M33" i="3"/>
  <c r="U33" i="3" s="1"/>
  <c r="L33" i="3"/>
  <c r="T33" i="3" s="1"/>
  <c r="O32" i="3"/>
  <c r="W32" i="3" s="1"/>
  <c r="N32" i="3"/>
  <c r="V32" i="3" s="1"/>
  <c r="M32" i="3"/>
  <c r="U32" i="3" s="1"/>
  <c r="L32" i="3"/>
  <c r="T32" i="3" s="1"/>
  <c r="O28" i="3"/>
  <c r="W28" i="3" s="1"/>
  <c r="O24" i="3"/>
  <c r="W24" i="3" s="1"/>
  <c r="O23" i="3"/>
  <c r="W23" i="3" s="1"/>
  <c r="O27" i="3"/>
  <c r="W27" i="3" s="1"/>
  <c r="O31" i="3"/>
  <c r="W31" i="3" s="1"/>
  <c r="N31" i="3"/>
  <c r="V31" i="3" s="1"/>
  <c r="M31" i="3"/>
  <c r="U31" i="3" s="1"/>
  <c r="L31" i="3"/>
  <c r="T31" i="3" s="1"/>
  <c r="O26" i="3"/>
  <c r="W26" i="3" s="1"/>
  <c r="O22" i="3"/>
  <c r="W22" i="3" s="1"/>
  <c r="O30" i="3"/>
  <c r="W30" i="3" s="1"/>
  <c r="N30" i="3"/>
  <c r="V30" i="3" s="1"/>
  <c r="M30" i="3"/>
  <c r="U30" i="3" s="1"/>
  <c r="L30" i="3"/>
  <c r="T30" i="3" s="1"/>
  <c r="M29" i="3"/>
  <c r="U29" i="3" s="1"/>
  <c r="L29" i="3"/>
  <c r="T29" i="3" s="1"/>
  <c r="M28" i="3"/>
  <c r="U28" i="3" s="1"/>
  <c r="L28" i="3"/>
  <c r="T28" i="3" s="1"/>
  <c r="M27" i="3"/>
  <c r="U27" i="3" s="1"/>
  <c r="L27" i="3"/>
  <c r="T27" i="3" s="1"/>
  <c r="M26" i="3"/>
  <c r="U26" i="3" s="1"/>
  <c r="U6" i="3" s="1"/>
  <c r="L26" i="3"/>
  <c r="T26" i="3" s="1"/>
  <c r="O21" i="3"/>
  <c r="W21" i="3" s="1"/>
  <c r="N21" i="3"/>
  <c r="V21" i="3" s="1"/>
  <c r="M21" i="3"/>
  <c r="U21" i="3" s="1"/>
  <c r="O20" i="3"/>
  <c r="W20" i="3" s="1"/>
  <c r="N20" i="3"/>
  <c r="V20" i="3" s="1"/>
  <c r="M20" i="3"/>
  <c r="U20" i="3" s="1"/>
  <c r="O19" i="3"/>
  <c r="W19" i="3" s="1"/>
  <c r="N19" i="3"/>
  <c r="V19" i="3" s="1"/>
  <c r="M19" i="3"/>
  <c r="U19" i="3" s="1"/>
  <c r="O18" i="3"/>
  <c r="N18" i="3"/>
  <c r="M18" i="3"/>
  <c r="U18" i="3" s="1"/>
  <c r="L21" i="3"/>
  <c r="T21" i="3" s="1"/>
  <c r="L25" i="3"/>
  <c r="T25" i="3" s="1"/>
  <c r="L24" i="3"/>
  <c r="T24" i="3" s="1"/>
  <c r="L23" i="3"/>
  <c r="T23" i="3" s="1"/>
  <c r="L22" i="3"/>
  <c r="T22" i="3" s="1"/>
  <c r="L20" i="3"/>
  <c r="T20" i="3" s="1"/>
  <c r="T18" i="3"/>
  <c r="O17" i="3"/>
  <c r="W17" i="3" s="1"/>
  <c r="O16" i="3"/>
  <c r="W16" i="3" s="1"/>
  <c r="O15" i="3"/>
  <c r="W15" i="3" s="1"/>
  <c r="N17" i="3"/>
  <c r="V17" i="3" s="1"/>
  <c r="N16" i="3"/>
  <c r="V16" i="3" s="1"/>
  <c r="N15" i="3"/>
  <c r="V15" i="3" s="1"/>
  <c r="O14" i="3"/>
  <c r="W14" i="3" s="1"/>
  <c r="N14" i="3"/>
  <c r="V14" i="3" s="1"/>
  <c r="M17" i="3"/>
  <c r="U17" i="3" s="1"/>
  <c r="M16" i="3"/>
  <c r="U16" i="3" s="1"/>
  <c r="M15" i="3"/>
  <c r="U15" i="3" s="1"/>
  <c r="M14" i="3"/>
  <c r="L17" i="3"/>
  <c r="T17" i="3" s="1"/>
  <c r="L16" i="3"/>
  <c r="T16" i="3" s="1"/>
  <c r="L15" i="3"/>
  <c r="T15" i="3" s="1"/>
  <c r="L14" i="3"/>
  <c r="T14" i="3" s="1"/>
  <c r="M13" i="3"/>
  <c r="U13" i="3" s="1"/>
  <c r="M12" i="3"/>
  <c r="U12" i="3" s="1"/>
  <c r="M11" i="3"/>
  <c r="U11" i="3" s="1"/>
  <c r="M10" i="3"/>
  <c r="U10" i="3" s="1"/>
  <c r="L13" i="3"/>
  <c r="T13" i="3" s="1"/>
  <c r="L12" i="3"/>
  <c r="T12" i="3" s="1"/>
  <c r="L11" i="3"/>
  <c r="T11" i="3" s="1"/>
  <c r="L10" i="3"/>
  <c r="T10" i="3" s="1"/>
  <c r="K17" i="3"/>
  <c r="S17" i="3" s="1"/>
  <c r="K16" i="3"/>
  <c r="S16" i="3" s="1"/>
  <c r="K15" i="3"/>
  <c r="S15" i="3" s="1"/>
  <c r="K14" i="3"/>
  <c r="J41" i="3"/>
  <c r="R41" i="3" s="1"/>
  <c r="J40" i="3"/>
  <c r="R40" i="3" s="1"/>
  <c r="J39" i="3"/>
  <c r="R39" i="3" s="1"/>
  <c r="J38" i="3"/>
  <c r="R38" i="3" s="1"/>
  <c r="J33" i="3"/>
  <c r="R33" i="3" s="1"/>
  <c r="J32" i="3"/>
  <c r="R32" i="3" s="1"/>
  <c r="J31" i="3"/>
  <c r="R31" i="3" s="1"/>
  <c r="J30" i="3"/>
  <c r="J29" i="3"/>
  <c r="R29" i="3" s="1"/>
  <c r="J28" i="3"/>
  <c r="R28" i="3" s="1"/>
  <c r="J27" i="3"/>
  <c r="R27" i="3" s="1"/>
  <c r="J26" i="3"/>
  <c r="J25" i="3"/>
  <c r="R25" i="3" s="1"/>
  <c r="R24" i="3"/>
  <c r="J23" i="3"/>
  <c r="R23" i="3" s="1"/>
  <c r="J22" i="3"/>
  <c r="R22" i="3" s="1"/>
  <c r="J21" i="3"/>
  <c r="R21" i="3" s="1"/>
  <c r="J20" i="3"/>
  <c r="R20" i="3" s="1"/>
  <c r="J19" i="3"/>
  <c r="R19" i="3" s="1"/>
  <c r="J18" i="3"/>
  <c r="R18" i="3" s="1"/>
  <c r="J17" i="3"/>
  <c r="R17" i="3" s="1"/>
  <c r="J16" i="3"/>
  <c r="R16" i="3" s="1"/>
  <c r="J15" i="3"/>
  <c r="R15" i="3" s="1"/>
  <c r="J14" i="3"/>
  <c r="J13" i="3"/>
  <c r="R13" i="3" s="1"/>
  <c r="J12" i="3"/>
  <c r="R12" i="3" s="1"/>
  <c r="J11" i="3"/>
  <c r="R11" i="3" s="1"/>
  <c r="J10" i="3"/>
  <c r="T6" i="3" l="1"/>
  <c r="T7" i="3"/>
  <c r="T5" i="3"/>
  <c r="R5" i="3"/>
  <c r="R4" i="3"/>
  <c r="U2" i="3"/>
  <c r="V3" i="3"/>
  <c r="W3" i="3"/>
  <c r="U4" i="3"/>
  <c r="W5" i="3"/>
  <c r="W6" i="3"/>
  <c r="T2" i="3"/>
  <c r="T3" i="3"/>
  <c r="T8" i="3"/>
  <c r="J7" i="3"/>
  <c r="Z7" i="3" s="1"/>
  <c r="AH7" i="3" s="1"/>
  <c r="R26" i="3"/>
  <c r="J6" i="3"/>
  <c r="Z6" i="3" s="1"/>
  <c r="AH6" i="3" s="1"/>
  <c r="M9" i="3"/>
  <c r="AC9" i="3" s="1"/>
  <c r="AK9" i="3" s="1"/>
  <c r="K3" i="3"/>
  <c r="AA3" i="3" s="1"/>
  <c r="AI3" i="3" s="1"/>
  <c r="J5" i="3"/>
  <c r="Z5" i="3" s="1"/>
  <c r="AH5" i="3" s="1"/>
  <c r="O4" i="3"/>
  <c r="AE4" i="3" s="1"/>
  <c r="AM4" i="3" s="1"/>
  <c r="O5" i="3"/>
  <c r="AE5" i="3" s="1"/>
  <c r="AM5" i="3" s="1"/>
  <c r="W18" i="3"/>
  <c r="W4" i="3" s="1"/>
  <c r="N4" i="3"/>
  <c r="AD4" i="3" s="1"/>
  <c r="AL4" i="3" s="1"/>
  <c r="M3" i="3"/>
  <c r="AC3" i="3" s="1"/>
  <c r="AK3" i="3" s="1"/>
  <c r="L4" i="3"/>
  <c r="AB4" i="3" s="1"/>
  <c r="AJ4" i="3" s="1"/>
  <c r="L5" i="3"/>
  <c r="AB5" i="3" s="1"/>
  <c r="AJ5" i="3" s="1"/>
  <c r="L6" i="3"/>
  <c r="AB6" i="3" s="1"/>
  <c r="AJ6" i="3" s="1"/>
  <c r="O9" i="3"/>
  <c r="AE9" i="3" s="1"/>
  <c r="AM9" i="3" s="1"/>
  <c r="W8" i="3"/>
  <c r="N7" i="3"/>
  <c r="AD7" i="3" s="1"/>
  <c r="AL7" i="3" s="1"/>
  <c r="K9" i="3"/>
  <c r="AA9" i="3" s="1"/>
  <c r="AI9" i="3" s="1"/>
  <c r="L9" i="3"/>
  <c r="AB9" i="3" s="1"/>
  <c r="AJ9" i="3" s="1"/>
  <c r="L8" i="3"/>
  <c r="AB8" i="3" s="1"/>
  <c r="AJ8" i="3" s="1"/>
  <c r="K8" i="3"/>
  <c r="AA8" i="3" s="1"/>
  <c r="AI8" i="3" s="1"/>
  <c r="R30" i="3"/>
  <c r="R7" i="3" s="1"/>
  <c r="S14" i="3"/>
  <c r="S3" i="3" s="1"/>
  <c r="J2" i="3"/>
  <c r="Z2" i="3" s="1"/>
  <c r="AH2" i="3" s="1"/>
  <c r="J3" i="3"/>
  <c r="Z3" i="3" s="1"/>
  <c r="AH3" i="3" s="1"/>
  <c r="T38" i="3"/>
  <c r="T9" i="3" s="1"/>
  <c r="V18" i="3"/>
  <c r="V4" i="3" s="1"/>
  <c r="W39" i="3"/>
  <c r="W9" i="3" s="1"/>
  <c r="M2" i="3"/>
  <c r="AC2" i="3" s="1"/>
  <c r="AK2" i="3" s="1"/>
  <c r="U14" i="3"/>
  <c r="U3" i="3" s="1"/>
  <c r="M7" i="3"/>
  <c r="AC7" i="3" s="1"/>
  <c r="AK7" i="3" s="1"/>
  <c r="M4" i="3"/>
  <c r="AC4" i="3" s="1"/>
  <c r="AK4" i="3" s="1"/>
  <c r="L2" i="3"/>
  <c r="AB2" i="3" s="1"/>
  <c r="AJ2" i="3" s="1"/>
  <c r="J4" i="3"/>
  <c r="Z4" i="3" s="1"/>
  <c r="AH4" i="3" s="1"/>
  <c r="L3" i="3"/>
  <c r="AB3" i="3" s="1"/>
  <c r="AJ3" i="3" s="1"/>
  <c r="T19" i="3"/>
  <c r="T4" i="3" s="1"/>
  <c r="J9" i="3"/>
  <c r="Z9" i="3" s="1"/>
  <c r="AH9" i="3" s="1"/>
  <c r="L7" i="3"/>
  <c r="AB7" i="3" s="1"/>
  <c r="AJ7" i="3" s="1"/>
  <c r="R14" i="3"/>
  <c r="U38" i="3"/>
  <c r="U9" i="3" s="1"/>
  <c r="O6" i="3"/>
  <c r="AE6" i="3" s="1"/>
  <c r="AM6" i="3" s="1"/>
  <c r="O3" i="3"/>
  <c r="AE3" i="3" s="1"/>
  <c r="AM3" i="3" s="1"/>
  <c r="O8" i="3"/>
  <c r="AE8" i="3" s="1"/>
  <c r="AM8" i="3" s="1"/>
  <c r="W7" i="3"/>
  <c r="U8" i="3"/>
  <c r="M6" i="3"/>
  <c r="AC6" i="3" s="1"/>
  <c r="AK6" i="3" s="1"/>
  <c r="N3" i="3"/>
  <c r="AD3" i="3" s="1"/>
  <c r="AL3" i="3" s="1"/>
  <c r="N8" i="3"/>
  <c r="AD8" i="3" s="1"/>
  <c r="AL8" i="3" s="1"/>
  <c r="O7" i="3"/>
  <c r="AE7" i="3" s="1"/>
  <c r="AM7" i="3" s="1"/>
  <c r="R9" i="3"/>
  <c r="V8" i="3"/>
  <c r="M8" i="3"/>
  <c r="AC8" i="3" s="1"/>
  <c r="AK8" i="3" s="1"/>
  <c r="S9" i="3"/>
  <c r="S8" i="3"/>
  <c r="U7" i="3"/>
  <c r="V7" i="3"/>
  <c r="R10" i="3"/>
  <c r="R2" i="3" s="1"/>
  <c r="R6" i="3" l="1"/>
  <c r="R3" i="3"/>
  <c r="AO9" i="3"/>
  <c r="AO8" i="3"/>
  <c r="AO2" i="3"/>
  <c r="AO7" i="3"/>
  <c r="AO6" i="3"/>
  <c r="AO3" i="3"/>
  <c r="AO5" i="3"/>
  <c r="AO4" i="3"/>
  <c r="AO10" i="3" l="1"/>
</calcChain>
</file>

<file path=xl/sharedStrings.xml><?xml version="1.0" encoding="utf-8"?>
<sst xmlns="http://schemas.openxmlformats.org/spreadsheetml/2006/main" count="78" uniqueCount="14">
  <si>
    <t>U</t>
  </si>
  <si>
    <t>^</t>
  </si>
  <si>
    <t>&lt;</t>
  </si>
  <si>
    <t>&gt;</t>
  </si>
  <si>
    <t>v</t>
  </si>
  <si>
    <t>Max A</t>
  </si>
  <si>
    <t>New U</t>
  </si>
  <si>
    <t>Up</t>
  </si>
  <si>
    <t>Left</t>
  </si>
  <si>
    <t>Right</t>
  </si>
  <si>
    <t>Down</t>
  </si>
  <si>
    <t>Actions</t>
  </si>
  <si>
    <t>Uncertainty</t>
  </si>
  <si>
    <r>
      <rPr>
        <b/>
        <sz val="28"/>
        <color theme="1"/>
        <rFont val="Symbol"/>
        <family val="1"/>
        <charset val="2"/>
      </rPr>
      <t xml:space="preserve">p </t>
    </r>
    <r>
      <rPr>
        <b/>
        <sz val="22"/>
        <color theme="1"/>
        <rFont val="Calibri"/>
        <family val="2"/>
        <scheme val="minor"/>
      </rPr>
      <t>(Action)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</si>
</sst>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"/>
  </numFmts>
  <fonts count="5">
    <font>
      <sz val="11"/>
      <color theme="1"/>
      <name val="Calibri"/>
      <family val="2"/>
      <charset val="22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1"/>
      <name val="Symbol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Fill="1" applyBorder="1"/>
    <xf numFmtId="1" fontId="0" fillId="6" borderId="0" xfId="0" applyNumberFormat="1" applyFill="1" applyAlignment="1">
      <alignment horizontal="center" vertical="center"/>
    </xf>
    <xf numFmtId="1" fontId="0" fillId="0" borderId="0" xfId="0" applyNumberFormat="1"/>
    <xf numFmtId="165" fontId="0" fillId="0" borderId="1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4" borderId="10" xfId="0" applyNumberFormat="1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3" fillId="7" borderId="12" xfId="0" applyFont="1" applyFill="1" applyBorder="1"/>
    <xf numFmtId="0" fontId="3" fillId="7" borderId="13" xfId="0" applyFont="1" applyFill="1" applyBorder="1"/>
    <xf numFmtId="0" fontId="3" fillId="7" borderId="17" xfId="0" applyFont="1" applyFill="1" applyBorder="1"/>
    <xf numFmtId="0" fontId="1" fillId="7" borderId="3" xfId="0" applyFont="1" applyFill="1" applyBorder="1"/>
    <xf numFmtId="0" fontId="0" fillId="2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9" xfId="0" applyFill="1" applyBorder="1"/>
    <xf numFmtId="1" fontId="0" fillId="4" borderId="0" xfId="0" applyNumberFormat="1" applyFill="1"/>
    <xf numFmtId="0" fontId="0" fillId="0" borderId="20" xfId="0" applyFill="1" applyBorder="1"/>
    <xf numFmtId="0" fontId="0" fillId="0" borderId="21" xfId="0" applyFill="1" applyBorder="1"/>
    <xf numFmtId="0" fontId="0" fillId="8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0" fillId="8" borderId="19" xfId="0" applyFill="1" applyBorder="1"/>
    <xf numFmtId="0" fontId="0" fillId="8" borderId="20" xfId="0" applyFill="1" applyBorder="1"/>
    <xf numFmtId="0" fontId="0" fillId="8" borderId="21" xfId="0" applyFill="1" applyBorder="1"/>
    <xf numFmtId="0" fontId="0" fillId="3" borderId="19" xfId="0" applyFill="1" applyBorder="1"/>
    <xf numFmtId="0" fontId="0" fillId="3" borderId="20" xfId="0" applyFill="1" applyBorder="1"/>
    <xf numFmtId="0" fontId="0" fillId="3" borderId="21" xfId="0" applyFill="1" applyBorder="1"/>
    <xf numFmtId="0" fontId="0" fillId="5" borderId="0" xfId="0" applyFill="1" applyBorder="1"/>
    <xf numFmtId="0" fontId="0" fillId="0" borderId="22" xfId="0" applyFill="1" applyBorder="1"/>
    <xf numFmtId="0" fontId="0" fillId="0" borderId="23" xfId="0" applyFill="1" applyBorder="1"/>
    <xf numFmtId="0" fontId="0" fillId="0" borderId="24" xfId="0" applyFill="1" applyBorder="1"/>
    <xf numFmtId="0" fontId="0" fillId="5" borderId="22" xfId="0" applyFill="1" applyBorder="1"/>
    <xf numFmtId="0" fontId="0" fillId="5" borderId="23" xfId="0" applyFill="1" applyBorder="1"/>
    <xf numFmtId="0" fontId="0" fillId="0" borderId="25" xfId="0" applyFill="1" applyBorder="1"/>
    <xf numFmtId="0" fontId="0" fillId="0" borderId="26" xfId="0" applyFill="1" applyBorder="1"/>
    <xf numFmtId="0" fontId="0" fillId="0" borderId="27" xfId="0" applyFill="1" applyBorder="1"/>
    <xf numFmtId="0" fontId="0" fillId="3" borderId="25" xfId="0" applyFill="1" applyBorder="1"/>
    <xf numFmtId="0" fontId="0" fillId="5" borderId="28" xfId="0" applyFill="1" applyBorder="1"/>
    <xf numFmtId="0" fontId="0" fillId="3" borderId="26" xfId="0" applyFill="1" applyBorder="1"/>
    <xf numFmtId="0" fontId="0" fillId="5" borderId="26" xfId="0" applyFill="1" applyBorder="1"/>
    <xf numFmtId="0" fontId="0" fillId="0" borderId="2" xfId="0" applyFill="1" applyBorder="1"/>
    <xf numFmtId="0" fontId="0" fillId="5" borderId="25" xfId="0" applyFill="1" applyBorder="1"/>
    <xf numFmtId="0" fontId="0" fillId="5" borderId="27" xfId="0" applyFill="1" applyBorder="1"/>
    <xf numFmtId="0" fontId="0" fillId="3" borderId="27" xfId="0" applyFill="1" applyBorder="1"/>
    <xf numFmtId="0" fontId="0" fillId="9" borderId="1" xfId="0" applyFill="1" applyBorder="1" applyAlignment="1">
      <alignment horizontal="center" vertical="center"/>
    </xf>
    <xf numFmtId="165" fontId="0" fillId="0" borderId="7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24</xdr:row>
      <xdr:rowOff>57150</xdr:rowOff>
    </xdr:from>
    <xdr:to>
      <xdr:col>3</xdr:col>
      <xdr:colOff>342900</xdr:colOff>
      <xdr:row>28</xdr:row>
      <xdr:rowOff>19050</xdr:rowOff>
    </xdr:to>
    <xdr:sp macro="[0]!StepMDP1" textlink="">
      <xdr:nvSpPr>
        <xdr:cNvPr id="2" name="Rounded Rectangle 1"/>
        <xdr:cNvSpPr/>
      </xdr:nvSpPr>
      <xdr:spPr>
        <a:xfrm>
          <a:off x="695325" y="6467475"/>
          <a:ext cx="1704975" cy="6858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36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Step</a:t>
          </a:r>
          <a:endParaRPr lang="th-TH" sz="3600" b="1" cap="all" spc="0">
            <a:ln w="0"/>
            <a:gradFill flip="none">
              <a:gsLst>
                <a:gs pos="0">
                  <a:schemeClr val="accent1">
                    <a:tint val="75000"/>
                    <a:shade val="75000"/>
                    <a:satMod val="170000"/>
                  </a:schemeClr>
                </a:gs>
                <a:gs pos="49000">
                  <a:schemeClr val="accent1">
                    <a:tint val="88000"/>
                    <a:shade val="65000"/>
                    <a:satMod val="172000"/>
                  </a:schemeClr>
                </a:gs>
                <a:gs pos="50000">
                  <a:schemeClr val="accent1">
                    <a:shade val="65000"/>
                    <a:satMod val="130000"/>
                  </a:schemeClr>
                </a:gs>
                <a:gs pos="92000">
                  <a:schemeClr val="accent1">
                    <a:shade val="50000"/>
                    <a:satMod val="120000"/>
                  </a:schemeClr>
                </a:gs>
                <a:gs pos="100000">
                  <a:schemeClr val="accent1">
                    <a:shade val="48000"/>
                    <a:satMod val="120000"/>
                  </a:schemeClr>
                </a:gs>
              </a:gsLst>
              <a:lin ang="5400000"/>
            </a:gradFill>
            <a:effectLst>
              <a:reflection blurRad="12700" stA="50000" endPos="50000" dist="5000" dir="5400000" sy="-100000" rotWithShape="0"/>
            </a:effectLst>
          </a:endParaRPr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3</xdr:col>
      <xdr:colOff>381000</xdr:colOff>
      <xdr:row>23</xdr:row>
      <xdr:rowOff>123825</xdr:rowOff>
    </xdr:to>
    <xdr:sp macro="[0]!ClearToZero1" textlink="">
      <xdr:nvSpPr>
        <xdr:cNvPr id="3" name="Rounded Rectangle 2"/>
        <xdr:cNvSpPr/>
      </xdr:nvSpPr>
      <xdr:spPr>
        <a:xfrm>
          <a:off x="606136" y="5801591"/>
          <a:ext cx="1593273" cy="6953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36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Clear</a:t>
          </a:r>
          <a:endParaRPr lang="th-TH" sz="1400" b="1" cap="all" spc="0">
            <a:ln w="0"/>
            <a:gradFill flip="none">
              <a:gsLst>
                <a:gs pos="0">
                  <a:schemeClr val="accent1">
                    <a:tint val="75000"/>
                    <a:shade val="75000"/>
                    <a:satMod val="170000"/>
                  </a:schemeClr>
                </a:gs>
                <a:gs pos="49000">
                  <a:schemeClr val="accent1">
                    <a:tint val="88000"/>
                    <a:shade val="65000"/>
                    <a:satMod val="172000"/>
                  </a:schemeClr>
                </a:gs>
                <a:gs pos="50000">
                  <a:schemeClr val="accent1">
                    <a:shade val="65000"/>
                    <a:satMod val="130000"/>
                  </a:schemeClr>
                </a:gs>
                <a:gs pos="92000">
                  <a:schemeClr val="accent1">
                    <a:shade val="50000"/>
                    <a:satMod val="120000"/>
                  </a:schemeClr>
                </a:gs>
                <a:gs pos="100000">
                  <a:schemeClr val="accent1">
                    <a:shade val="48000"/>
                    <a:satMod val="120000"/>
                  </a:schemeClr>
                </a:gs>
              </a:gsLst>
              <a:lin ang="5400000"/>
            </a:gradFill>
            <a:effectLst>
              <a:reflection blurRad="12700" stA="50000" endPos="50000" dist="5000" dir="5400000" sy="-100000" rotWithShape="0"/>
            </a:effectLst>
          </a:endParaRPr>
        </a:p>
      </xdr:txBody>
    </xdr:sp>
    <xdr:clientData/>
  </xdr:twoCellAnchor>
  <xdr:twoCellAnchor>
    <xdr:from>
      <xdr:col>1</xdr:col>
      <xdr:colOff>0</xdr:colOff>
      <xdr:row>28</xdr:row>
      <xdr:rowOff>142875</xdr:rowOff>
    </xdr:from>
    <xdr:to>
      <xdr:col>4</xdr:col>
      <xdr:colOff>3464</xdr:colOff>
      <xdr:row>32</xdr:row>
      <xdr:rowOff>133350</xdr:rowOff>
    </xdr:to>
    <xdr:sp macro="[0]!RunMDP1" textlink="">
      <xdr:nvSpPr>
        <xdr:cNvPr id="4" name="Rounded Rectangle 3"/>
        <xdr:cNvSpPr/>
      </xdr:nvSpPr>
      <xdr:spPr>
        <a:xfrm>
          <a:off x="606136" y="7468466"/>
          <a:ext cx="1821873" cy="752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sz="4000" b="1" cap="all" spc="0">
              <a:ln w="0"/>
              <a:gradFill flip="none">
                <a:gsLst>
                  <a:gs pos="0">
                    <a:schemeClr val="accent1">
                      <a:tint val="75000"/>
                      <a:shade val="75000"/>
                      <a:satMod val="170000"/>
                    </a:schemeClr>
                  </a:gs>
                  <a:gs pos="49000">
                    <a:schemeClr val="accent1">
                      <a:tint val="88000"/>
                      <a:shade val="65000"/>
                      <a:satMod val="172000"/>
                    </a:schemeClr>
                  </a:gs>
                  <a:gs pos="50000">
                    <a:schemeClr val="accent1">
                      <a:shade val="65000"/>
                      <a:satMod val="130000"/>
                    </a:schemeClr>
                  </a:gs>
                  <a:gs pos="92000">
                    <a:schemeClr val="accent1">
                      <a:shade val="50000"/>
                      <a:satMod val="120000"/>
                    </a:schemeClr>
                  </a:gs>
                  <a:gs pos="100000">
                    <a:schemeClr val="accent1">
                      <a:shade val="48000"/>
                      <a:satMod val="120000"/>
                    </a:schemeClr>
                  </a:gs>
                </a:gsLst>
                <a:lin ang="5400000"/>
              </a:gradFill>
              <a:effectLst>
                <a:reflection blurRad="12700" stA="50000" endPos="50000" dist="5000" dir="5400000" sy="-100000" rotWithShape="0"/>
              </a:effectLst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O41"/>
  <sheetViews>
    <sheetView tabSelected="1" zoomScale="58" zoomScaleNormal="58" workbookViewId="0">
      <selection activeCell="G6" sqref="G6"/>
    </sheetView>
  </sheetViews>
  <sheetFormatPr defaultRowHeight="15"/>
  <sheetData>
    <row r="1" spans="2:41" ht="36">
      <c r="B1" s="62" t="s">
        <v>0</v>
      </c>
      <c r="C1" s="62"/>
      <c r="D1" s="62"/>
      <c r="E1" s="62"/>
      <c r="F1" s="62"/>
      <c r="G1" s="62"/>
      <c r="J1" s="62" t="s">
        <v>5</v>
      </c>
      <c r="K1" s="62"/>
      <c r="L1" s="62"/>
      <c r="M1" s="62"/>
      <c r="N1" s="62"/>
      <c r="O1" s="62"/>
      <c r="R1" s="62" t="s">
        <v>13</v>
      </c>
      <c r="S1" s="62"/>
      <c r="T1" s="62"/>
      <c r="U1" s="62"/>
      <c r="V1" s="62"/>
      <c r="W1" s="62"/>
      <c r="Z1" s="62" t="s">
        <v>6</v>
      </c>
      <c r="AA1" s="62"/>
      <c r="AB1" s="62"/>
      <c r="AC1" s="62"/>
      <c r="AD1" s="62"/>
      <c r="AE1" s="62"/>
    </row>
    <row r="2" spans="2:41" ht="30" customHeight="1">
      <c r="B2" s="24">
        <v>0</v>
      </c>
      <c r="C2" s="26">
        <v>-1</v>
      </c>
      <c r="D2" s="24">
        <v>0</v>
      </c>
      <c r="E2" s="24">
        <v>0</v>
      </c>
      <c r="F2" s="25">
        <v>-2</v>
      </c>
      <c r="G2" s="25">
        <v>-2</v>
      </c>
      <c r="J2" s="1">
        <f>MAX(J10:J13)</f>
        <v>0</v>
      </c>
      <c r="K2" s="26">
        <v>-1</v>
      </c>
      <c r="L2" s="1">
        <f t="shared" ref="L2:M2" si="0">MAX(L10:L13)</f>
        <v>0</v>
      </c>
      <c r="M2" s="1">
        <f t="shared" si="0"/>
        <v>0</v>
      </c>
      <c r="N2" s="33"/>
      <c r="O2" s="33"/>
      <c r="R2" s="1" t="str">
        <f>IF(MAX(R$10:R$13)=R$10,$I$10,IF(MAX(R$10:R$13)=R$11,$I$11,IF(MAX(R$10:R$13)=R$12,$I$12,$I$13)))</f>
        <v>&lt;</v>
      </c>
      <c r="S2" s="26">
        <v>-1</v>
      </c>
      <c r="T2" s="1" t="str">
        <f>IF(MAX(T$10:T$13)=T$10,$I$10,IF(MAX(T$10:T$13)=T$11,$I$11,IF(MAX(T$10:T$13)=T$12,$I$12,$I$13)))</f>
        <v>&gt;</v>
      </c>
      <c r="U2" s="1" t="str">
        <f>IF(MAX(U$10:U$13)=U$10,$I$10,IF(MAX(U$10:U$13)=U$11,$I$11,IF(MAX(U$10:U$13)=U$12,$I$12,$I$13)))</f>
        <v>^</v>
      </c>
      <c r="V2" s="33"/>
      <c r="W2" s="33"/>
      <c r="Z2" s="60">
        <f>J2-0.04</f>
        <v>-0.04</v>
      </c>
      <c r="AA2" s="26">
        <v>-1</v>
      </c>
      <c r="AB2" s="60">
        <f t="shared" ref="AA2:AE9" si="1">L2-0.04</f>
        <v>-0.04</v>
      </c>
      <c r="AC2" s="60">
        <f t="shared" si="1"/>
        <v>-0.04</v>
      </c>
      <c r="AD2" s="33"/>
      <c r="AE2" s="33"/>
      <c r="AH2" s="3">
        <f>ROUND(100*(Z2-B2),3)</f>
        <v>-4</v>
      </c>
      <c r="AI2" s="3">
        <f t="shared" ref="AI2:AN9" si="2">ROUND(100*(AA2-C2),3)</f>
        <v>0</v>
      </c>
      <c r="AJ2" s="3">
        <f t="shared" si="2"/>
        <v>-4</v>
      </c>
      <c r="AK2" s="3">
        <f t="shared" si="2"/>
        <v>-4</v>
      </c>
      <c r="AL2" s="3">
        <v>0</v>
      </c>
      <c r="AM2" s="3">
        <v>0</v>
      </c>
      <c r="AN2" s="3">
        <f t="shared" si="2"/>
        <v>0</v>
      </c>
      <c r="AO2" s="4">
        <f>SUM(AH2:AN2)</f>
        <v>-12</v>
      </c>
    </row>
    <row r="3" spans="2:41" ht="30" customHeight="1">
      <c r="B3" s="24">
        <v>0</v>
      </c>
      <c r="C3" s="24">
        <v>0</v>
      </c>
      <c r="D3" s="24">
        <v>0</v>
      </c>
      <c r="E3" s="24">
        <v>0</v>
      </c>
      <c r="F3" s="24">
        <v>0</v>
      </c>
      <c r="G3" s="24">
        <v>0</v>
      </c>
      <c r="J3" s="1">
        <f>MAX(J14:J17)</f>
        <v>0</v>
      </c>
      <c r="K3" s="1">
        <f t="shared" ref="K3:O3" si="3">MAX(K14:K17)</f>
        <v>0</v>
      </c>
      <c r="L3" s="1">
        <f t="shared" si="3"/>
        <v>0</v>
      </c>
      <c r="M3" s="1">
        <f t="shared" si="3"/>
        <v>0</v>
      </c>
      <c r="N3" s="1">
        <f t="shared" si="3"/>
        <v>0</v>
      </c>
      <c r="O3" s="1">
        <f t="shared" si="3"/>
        <v>0</v>
      </c>
      <c r="R3" s="1" t="str">
        <f t="shared" ref="R3:W3" si="4">IF(MAX(R$14:R$17)=R$14,$I$10,IF(MAX(R$14:R$17)=R$15,$I$11,IF(MAX(R$14:R$17)=R$16,$I$12,$I$13)))</f>
        <v>^</v>
      </c>
      <c r="S3" s="1" t="str">
        <f t="shared" si="4"/>
        <v>v</v>
      </c>
      <c r="T3" s="1" t="str">
        <f t="shared" si="4"/>
        <v>^</v>
      </c>
      <c r="U3" s="1" t="str">
        <f t="shared" si="4"/>
        <v>^</v>
      </c>
      <c r="V3" s="1" t="str">
        <f t="shared" si="4"/>
        <v>^</v>
      </c>
      <c r="W3" s="1" t="str">
        <f t="shared" si="4"/>
        <v>^</v>
      </c>
      <c r="Z3" s="60">
        <f t="shared" ref="Z3:Z9" si="5">J3-0.04</f>
        <v>-0.04</v>
      </c>
      <c r="AA3" s="60">
        <f t="shared" si="1"/>
        <v>-0.04</v>
      </c>
      <c r="AB3" s="60">
        <f t="shared" si="1"/>
        <v>-0.04</v>
      </c>
      <c r="AC3" s="60">
        <f t="shared" si="1"/>
        <v>-0.04</v>
      </c>
      <c r="AD3" s="60">
        <f t="shared" si="1"/>
        <v>-0.04</v>
      </c>
      <c r="AE3" s="60">
        <f t="shared" si="1"/>
        <v>-0.04</v>
      </c>
      <c r="AH3" s="3">
        <f t="shared" ref="AH3:AH9" si="6">ROUND(100*(Z3-B3),3)</f>
        <v>-4</v>
      </c>
      <c r="AI3" s="3">
        <f t="shared" si="2"/>
        <v>-4</v>
      </c>
      <c r="AJ3" s="3">
        <f t="shared" si="2"/>
        <v>-4</v>
      </c>
      <c r="AK3" s="3">
        <f t="shared" si="2"/>
        <v>-4</v>
      </c>
      <c r="AL3" s="3">
        <f t="shared" si="2"/>
        <v>-4</v>
      </c>
      <c r="AM3" s="3">
        <f t="shared" si="2"/>
        <v>-4</v>
      </c>
      <c r="AN3" s="3">
        <f t="shared" si="2"/>
        <v>0</v>
      </c>
      <c r="AO3" s="4">
        <f t="shared" ref="AO3:AO8" si="7">SUM(AH3:AN3)</f>
        <v>-24</v>
      </c>
    </row>
    <row r="4" spans="2:41" ht="30" customHeight="1">
      <c r="B4" s="24">
        <v>0</v>
      </c>
      <c r="C4" s="25">
        <v>-2</v>
      </c>
      <c r="D4" s="24">
        <v>0</v>
      </c>
      <c r="E4" s="24">
        <v>0</v>
      </c>
      <c r="F4" s="24">
        <v>0</v>
      </c>
      <c r="G4" s="24">
        <v>0</v>
      </c>
      <c r="J4" s="1">
        <f>MAX(J18:J21)</f>
        <v>0</v>
      </c>
      <c r="K4" s="33"/>
      <c r="L4" s="1">
        <f t="shared" ref="L4:O4" si="8">MAX(L18:L21)</f>
        <v>0</v>
      </c>
      <c r="M4" s="1">
        <f t="shared" si="8"/>
        <v>0</v>
      </c>
      <c r="N4" s="1">
        <f>MAX(N18:N21)</f>
        <v>0.9</v>
      </c>
      <c r="O4" s="1">
        <f t="shared" si="8"/>
        <v>0</v>
      </c>
      <c r="R4" s="1" t="str">
        <f>IF(MAX(R$18:R$21)=R$18,$I$10,IF(MAX(R$18:R$21)=R$19,$I$11,IF(MAX(R$18:R$21)=R$20,$I$12,$I$13)))</f>
        <v>^</v>
      </c>
      <c r="S4" s="33"/>
      <c r="T4" s="1" t="str">
        <f>IF(MAX(T$18:T$21)=T$18,$I$10,IF(MAX(T$18:T$21)=T$19,$I$11,IF(MAX(T$18:T$21)=T$20,$I$12,$I$13)))</f>
        <v>^</v>
      </c>
      <c r="U4" s="1" t="str">
        <f>IF(MAX(U$18:U$21)=U$18,$I$10,IF(MAX(U$18:U$21)=U$19,$I$11,IF(MAX(U$18:U$21)=U$20,$I$12,$I$13)))</f>
        <v>^</v>
      </c>
      <c r="V4" s="1" t="str">
        <f>IF(MAX(V$18:V$21)=V$18,$I$10,IF(MAX(V$18:V$21)=V$19,$I$11,IF(MAX(V$18:V$21)=V$20,$I$12,$I$13)))</f>
        <v>v</v>
      </c>
      <c r="W4" s="1" t="str">
        <f>IF(MAX(W$18:W$21)=W$18,$I$10,IF(MAX(W$18:W$21)=W$19,$I$11,IF(MAX(W$18:W$21)=W$20,$I$12,$I$13)))</f>
        <v>^</v>
      </c>
      <c r="Z4" s="60">
        <f t="shared" si="5"/>
        <v>-0.04</v>
      </c>
      <c r="AA4" s="33"/>
      <c r="AB4" s="60">
        <f t="shared" si="1"/>
        <v>-0.04</v>
      </c>
      <c r="AC4" s="60">
        <f t="shared" si="1"/>
        <v>-0.04</v>
      </c>
      <c r="AD4" s="60">
        <f t="shared" si="1"/>
        <v>0.86</v>
      </c>
      <c r="AE4" s="60">
        <f t="shared" si="1"/>
        <v>-0.04</v>
      </c>
      <c r="AH4" s="3">
        <f t="shared" si="6"/>
        <v>-4</v>
      </c>
      <c r="AI4" s="3">
        <v>0</v>
      </c>
      <c r="AJ4" s="3">
        <f t="shared" si="2"/>
        <v>-4</v>
      </c>
      <c r="AK4" s="3">
        <f t="shared" si="2"/>
        <v>-4</v>
      </c>
      <c r="AL4" s="3">
        <f t="shared" si="2"/>
        <v>86</v>
      </c>
      <c r="AM4" s="3">
        <f t="shared" si="2"/>
        <v>-4</v>
      </c>
      <c r="AN4" s="3">
        <f t="shared" si="2"/>
        <v>0</v>
      </c>
      <c r="AO4" s="4">
        <f t="shared" si="7"/>
        <v>70</v>
      </c>
    </row>
    <row r="5" spans="2:41" ht="30" customHeight="1">
      <c r="B5" s="24">
        <v>0</v>
      </c>
      <c r="C5" s="25">
        <v>-2</v>
      </c>
      <c r="D5" s="24">
        <v>0</v>
      </c>
      <c r="E5" s="25">
        <v>-2</v>
      </c>
      <c r="F5" s="32">
        <v>1</v>
      </c>
      <c r="G5" s="24">
        <v>0</v>
      </c>
      <c r="J5" s="1">
        <f>MAX(J22:J25)</f>
        <v>0</v>
      </c>
      <c r="K5" s="33"/>
      <c r="L5" s="1">
        <f t="shared" ref="L5:O5" si="9">MAX(L22:L25)</f>
        <v>0</v>
      </c>
      <c r="M5" s="33"/>
      <c r="N5" s="32">
        <v>1</v>
      </c>
      <c r="O5" s="1">
        <f t="shared" si="9"/>
        <v>0.9</v>
      </c>
      <c r="R5" s="1" t="str">
        <f>IF(MAX(R$22:R$25)=R$22,$I$10,IF(MAX(R$22:R$25)=R$23,$I$11,IF(MAX(R$22:R$25)=R$24,$I$12,$I$13)))</f>
        <v>^</v>
      </c>
      <c r="S5" s="33"/>
      <c r="T5" s="1" t="str">
        <f>IF(MAX(T$22:T$25)=T$22,$I$10,IF(MAX(T$22:T$25)=T$23,$I$11,IF(MAX(T$22:T$25)=T$24,$I$12,$I$13)))</f>
        <v>^</v>
      </c>
      <c r="U5" s="33"/>
      <c r="V5" s="32">
        <v>1</v>
      </c>
      <c r="W5" s="1" t="str">
        <f>IF(MAX(W$22:W$25)=W$22,$I$10,IF(MAX(W$22:W$25)=W$23,$I$11,IF(MAX(W$22:W$25)=W$24,$I$12,$I$13)))</f>
        <v>&lt;</v>
      </c>
      <c r="Z5" s="60">
        <f t="shared" si="5"/>
        <v>-0.04</v>
      </c>
      <c r="AA5" s="33"/>
      <c r="AB5" s="60">
        <f t="shared" si="1"/>
        <v>-0.04</v>
      </c>
      <c r="AC5" s="33"/>
      <c r="AD5" s="32">
        <v>1</v>
      </c>
      <c r="AE5" s="60">
        <f t="shared" si="1"/>
        <v>0.86</v>
      </c>
      <c r="AH5" s="3">
        <f t="shared" si="6"/>
        <v>-4</v>
      </c>
      <c r="AI5" s="3">
        <v>0</v>
      </c>
      <c r="AJ5" s="3">
        <f t="shared" si="2"/>
        <v>-4</v>
      </c>
      <c r="AK5" s="3">
        <v>0</v>
      </c>
      <c r="AL5" s="3">
        <f t="shared" si="2"/>
        <v>0</v>
      </c>
      <c r="AM5" s="3">
        <f t="shared" si="2"/>
        <v>86</v>
      </c>
      <c r="AN5" s="3">
        <f t="shared" si="2"/>
        <v>0</v>
      </c>
      <c r="AO5" s="4">
        <f t="shared" si="7"/>
        <v>78</v>
      </c>
    </row>
    <row r="6" spans="2:41" ht="30" customHeight="1">
      <c r="B6" s="24">
        <v>0</v>
      </c>
      <c r="C6" s="25">
        <v>-2</v>
      </c>
      <c r="D6" s="24">
        <v>0</v>
      </c>
      <c r="E6" s="24">
        <v>0</v>
      </c>
      <c r="F6" s="25">
        <v>-2</v>
      </c>
      <c r="G6" s="24">
        <v>0</v>
      </c>
      <c r="J6" s="1">
        <f>MAX(J26:J29)</f>
        <v>0</v>
      </c>
      <c r="K6" s="33"/>
      <c r="L6" s="1">
        <f t="shared" ref="L6:O6" si="10">MAX(L26:L29)</f>
        <v>0</v>
      </c>
      <c r="M6" s="1">
        <f t="shared" si="10"/>
        <v>0</v>
      </c>
      <c r="N6" s="33"/>
      <c r="O6" s="1">
        <f t="shared" si="10"/>
        <v>0</v>
      </c>
      <c r="R6" s="1" t="str">
        <f>IF(MAX(R$26:R$29)=R$26,$I$10,IF(MAX(R$26:R$29)=R$27,$I$11,IF(MAX(R$26:R$29)=R$28,$I$12,$I$13)))</f>
        <v>^</v>
      </c>
      <c r="S6" s="33"/>
      <c r="T6" s="1" t="str">
        <f>IF(MAX(T$26:T$29)=T$26,$I$10,IF(MAX(T$26:T$29)=T$27,$I$11,IF(MAX(T$26:T$29)=T$28,$I$12,$I$13)))</f>
        <v>^</v>
      </c>
      <c r="U6" s="1" t="str">
        <f>IF(MAX(U$26:U$29)=U$26,$I$10,IF(MAX(U$26:U$29)=U$27,$I$11,IF(MAX(U$26:U$29)=U$28,$I$12,$I$13)))</f>
        <v>^</v>
      </c>
      <c r="V6" s="33"/>
      <c r="W6" s="1" t="str">
        <f>IF(MAX(W$26:W$29)=W$26,$I$10,IF(MAX(W$26:W$29)=W$27,$I$11,IF(MAX(W$26:W$29)=W$28,$I$12,$I$13)))</f>
        <v>^</v>
      </c>
      <c r="Z6" s="60">
        <f t="shared" si="5"/>
        <v>-0.04</v>
      </c>
      <c r="AA6" s="33"/>
      <c r="AB6" s="60">
        <f t="shared" si="1"/>
        <v>-0.04</v>
      </c>
      <c r="AC6" s="60">
        <f t="shared" si="1"/>
        <v>-0.04</v>
      </c>
      <c r="AD6" s="33"/>
      <c r="AE6" s="60">
        <f t="shared" si="1"/>
        <v>-0.04</v>
      </c>
      <c r="AH6" s="3">
        <f t="shared" si="6"/>
        <v>-4</v>
      </c>
      <c r="AI6" s="3">
        <v>0</v>
      </c>
      <c r="AJ6" s="3">
        <f t="shared" si="2"/>
        <v>-4</v>
      </c>
      <c r="AK6" s="3">
        <f t="shared" si="2"/>
        <v>-4</v>
      </c>
      <c r="AL6" s="3">
        <v>0</v>
      </c>
      <c r="AM6" s="3">
        <f t="shared" si="2"/>
        <v>-4</v>
      </c>
      <c r="AN6" s="3">
        <f t="shared" si="2"/>
        <v>0</v>
      </c>
      <c r="AO6" s="4">
        <f t="shared" si="7"/>
        <v>-16</v>
      </c>
    </row>
    <row r="7" spans="2:41" ht="30" customHeight="1">
      <c r="B7" s="24">
        <v>0</v>
      </c>
      <c r="C7" s="25">
        <v>-2</v>
      </c>
      <c r="D7" s="24">
        <v>0</v>
      </c>
      <c r="E7" s="24">
        <v>0</v>
      </c>
      <c r="F7" s="24">
        <v>0</v>
      </c>
      <c r="G7" s="24">
        <v>0</v>
      </c>
      <c r="J7" s="1">
        <f>MAX(J30:J33)</f>
        <v>0</v>
      </c>
      <c r="K7" s="33"/>
      <c r="L7" s="1">
        <f t="shared" ref="L7:O7" si="11">MAX(L30:L33)</f>
        <v>0</v>
      </c>
      <c r="M7" s="1">
        <f t="shared" si="11"/>
        <v>0</v>
      </c>
      <c r="N7" s="1">
        <f t="shared" si="11"/>
        <v>0</v>
      </c>
      <c r="O7" s="1">
        <f t="shared" si="11"/>
        <v>0</v>
      </c>
      <c r="R7" s="1" t="str">
        <f>IF(MAX(R$30:R$33)=R$30,$I$10,IF(MAX(R$30:R$33)=R$31,$I$11,IF(MAX(R$30:R$33)=R$32,$I$12,$I$13)))</f>
        <v>^</v>
      </c>
      <c r="S7" s="33"/>
      <c r="T7" s="1" t="str">
        <f>IF(MAX(T$30:T$33)=T$30,$I$10,IF(MAX(T$30:T$33)=T$31,$I$11,IF(MAX(T$30:T$33)=T$32,$I$12,$I$13)))</f>
        <v>^</v>
      </c>
      <c r="U7" s="1" t="str">
        <f>IF(MAX(U$30:U$33)=U$30,$I$10,IF(MAX(U$30:U$33)=U$31,$I$11,IF(MAX(U$30:U$33)=U$32,$I$12,$I$13)))</f>
        <v>^</v>
      </c>
      <c r="V7" s="1" t="str">
        <f>IF(MAX(V$30:V$33)=V$30,$I$10,IF(MAX(V$30:V$33)=V$31,$I$11,IF(MAX(V$30:V$33)=V$32,$I$12,$I$13)))</f>
        <v>^</v>
      </c>
      <c r="W7" s="1" t="str">
        <f>IF(MAX(W$30:W$33)=W$30,$I$10,IF(MAX(W$30:W$33)=W$31,$I$11,IF(MAX(W$30:W$33)=W$32,$I$12,$I$13)))</f>
        <v>^</v>
      </c>
      <c r="Z7" s="60">
        <f t="shared" si="5"/>
        <v>-0.04</v>
      </c>
      <c r="AA7" s="33"/>
      <c r="AB7" s="60">
        <f t="shared" si="1"/>
        <v>-0.04</v>
      </c>
      <c r="AC7" s="60">
        <f t="shared" si="1"/>
        <v>-0.04</v>
      </c>
      <c r="AD7" s="60">
        <f t="shared" si="1"/>
        <v>-0.04</v>
      </c>
      <c r="AE7" s="60">
        <f t="shared" si="1"/>
        <v>-0.04</v>
      </c>
      <c r="AH7" s="3">
        <f t="shared" si="6"/>
        <v>-4</v>
      </c>
      <c r="AI7" s="3">
        <v>0</v>
      </c>
      <c r="AJ7" s="3">
        <f t="shared" si="2"/>
        <v>-4</v>
      </c>
      <c r="AK7" s="3">
        <f t="shared" si="2"/>
        <v>-4</v>
      </c>
      <c r="AL7" s="3">
        <f t="shared" si="2"/>
        <v>-4</v>
      </c>
      <c r="AM7" s="3">
        <f t="shared" si="2"/>
        <v>-4</v>
      </c>
      <c r="AN7" s="3">
        <f t="shared" si="2"/>
        <v>0</v>
      </c>
      <c r="AO7" s="4">
        <f t="shared" si="7"/>
        <v>-20</v>
      </c>
    </row>
    <row r="8" spans="2:41" ht="30" customHeight="1">
      <c r="B8" s="26">
        <v>-1</v>
      </c>
      <c r="C8" s="24">
        <v>0</v>
      </c>
      <c r="D8" s="24">
        <v>0</v>
      </c>
      <c r="E8" s="24">
        <v>0</v>
      </c>
      <c r="F8" s="24">
        <v>0</v>
      </c>
      <c r="G8" s="24">
        <v>0</v>
      </c>
      <c r="J8" s="26">
        <v>-1</v>
      </c>
      <c r="K8" s="1">
        <f>MAX(K34:K37)</f>
        <v>0</v>
      </c>
      <c r="L8" s="1">
        <f t="shared" ref="L8:O8" si="12">MAX(L34:L37)</f>
        <v>0</v>
      </c>
      <c r="M8" s="1">
        <f t="shared" si="12"/>
        <v>0</v>
      </c>
      <c r="N8" s="1">
        <f t="shared" si="12"/>
        <v>0</v>
      </c>
      <c r="O8" s="1">
        <f t="shared" si="12"/>
        <v>0</v>
      </c>
      <c r="R8" s="26">
        <v>-1</v>
      </c>
      <c r="S8" s="1" t="str">
        <f>IF(MAX(S$34:S$37)=S$34,$I$10,IF(MAX(S$34:S$37)=S$35,$I$11,IF(MAX(S$34:S$37)=S$36,$I$12,$I$13)))</f>
        <v>&gt;</v>
      </c>
      <c r="T8" s="1" t="str">
        <f>IF(MAX(T$34:T$37)=T$34,$I$10,IF(MAX(T$34:T$37)=T$35,$I$11,IF(MAX(T$34:T$37)=T$36,$I$12,$I$13)))</f>
        <v>^</v>
      </c>
      <c r="U8" s="1" t="str">
        <f>IF(MAX(U$34:U$37)=U$34,$I$10,IF(MAX(U$34:U$37)=U$35,$I$11,IF(MAX(U$34:U$37)=U$36,$I$12,$I$13)))</f>
        <v>^</v>
      </c>
      <c r="V8" s="1" t="str">
        <f>IF(MAX(V$34:V$37)=V$34,$I$10,IF(MAX(V$34:V$37)=V$35,$I$11,IF(MAX(V$34:V$37)=V$36,$I$12,$I$13)))</f>
        <v>^</v>
      </c>
      <c r="W8" s="1" t="str">
        <f>IF(MAX(W$34:W$37)=W$34,$I$10,IF(MAX(W$34:W$37)=W$35,$I$11,IF(MAX(W$34:W$37)=W$36,$I$12,$I$13)))</f>
        <v>^</v>
      </c>
      <c r="Z8" s="26">
        <v>-1</v>
      </c>
      <c r="AA8" s="60">
        <f t="shared" si="1"/>
        <v>-0.04</v>
      </c>
      <c r="AB8" s="60">
        <f t="shared" si="1"/>
        <v>-0.04</v>
      </c>
      <c r="AC8" s="60">
        <f t="shared" si="1"/>
        <v>-0.04</v>
      </c>
      <c r="AD8" s="60">
        <f t="shared" si="1"/>
        <v>-0.04</v>
      </c>
      <c r="AE8" s="60">
        <f t="shared" si="1"/>
        <v>-0.04</v>
      </c>
      <c r="AH8" s="3">
        <f t="shared" si="6"/>
        <v>0</v>
      </c>
      <c r="AI8" s="3">
        <f t="shared" si="2"/>
        <v>-4</v>
      </c>
      <c r="AJ8" s="3">
        <f t="shared" si="2"/>
        <v>-4</v>
      </c>
      <c r="AK8" s="3">
        <f t="shared" si="2"/>
        <v>-4</v>
      </c>
      <c r="AL8" s="3">
        <f t="shared" si="2"/>
        <v>-4</v>
      </c>
      <c r="AM8" s="3">
        <f t="shared" si="2"/>
        <v>-4</v>
      </c>
      <c r="AN8" s="3">
        <f t="shared" si="2"/>
        <v>0</v>
      </c>
      <c r="AO8" s="4">
        <f t="shared" si="7"/>
        <v>-20</v>
      </c>
    </row>
    <row r="9" spans="2:41" ht="30" customHeight="1">
      <c r="B9" s="24">
        <v>0</v>
      </c>
      <c r="C9" s="24">
        <v>0</v>
      </c>
      <c r="D9" s="24">
        <v>0</v>
      </c>
      <c r="E9" s="24">
        <v>0</v>
      </c>
      <c r="F9" s="26">
        <v>-1</v>
      </c>
      <c r="G9" s="24">
        <v>0</v>
      </c>
      <c r="J9" s="1">
        <f>MAX(J38:J41)</f>
        <v>0</v>
      </c>
      <c r="K9" s="1">
        <f t="shared" ref="K9:O9" si="13">MAX(K38:K41)</f>
        <v>0</v>
      </c>
      <c r="L9" s="1">
        <f t="shared" si="13"/>
        <v>0</v>
      </c>
      <c r="M9" s="1">
        <f t="shared" si="13"/>
        <v>0</v>
      </c>
      <c r="N9" s="26">
        <v>-1</v>
      </c>
      <c r="O9" s="1">
        <f t="shared" si="13"/>
        <v>0</v>
      </c>
      <c r="R9" s="1" t="str">
        <f>IF(MAX(R$38:R$41)=R$38,$I$10,IF(MAX(R$38:R$41)=R$39,$I$11,IF(MAX(R$38:R$41)=R$40,$I$12,$I$13)))</f>
        <v>v</v>
      </c>
      <c r="S9" s="1" t="str">
        <f>IF(MAX(S$38:S$41)=S$38,$I$10,IF(MAX(S$38:S$41)=S$39,$I$11,IF(MAX(S$38:S$41)=S$40,$I$12,$I$13)))</f>
        <v>^</v>
      </c>
      <c r="T9" s="1" t="str">
        <f>IF(MAX(T$38:T$41)=T$38,$I$10,IF(MAX(T$38:T$41)=T$39,$I$11,IF(MAX(T$38:T$41)=T$40,$I$12,$I$13)))</f>
        <v>^</v>
      </c>
      <c r="U9" s="1" t="str">
        <f>IF(MAX(U$38:U$41)=U$38,$I$10,IF(MAX(U$38:U$41)=U$39,$I$11,IF(MAX(U$38:U$41)=U$40,$I$12,$I$13)))</f>
        <v>&lt;</v>
      </c>
      <c r="V9" s="26">
        <v>-1</v>
      </c>
      <c r="W9" s="1" t="str">
        <f>IF(MAX(W$38:W$41)=W$38,$I$10,IF(MAX(W$38:W$41)=W$39,$I$11,IF(MAX(W$38:W$41)=W$40,$I$12,$I$13)))</f>
        <v>&gt;</v>
      </c>
      <c r="Z9" s="60">
        <f t="shared" si="5"/>
        <v>-0.04</v>
      </c>
      <c r="AA9" s="60">
        <f t="shared" si="1"/>
        <v>-0.04</v>
      </c>
      <c r="AB9" s="60">
        <f t="shared" si="1"/>
        <v>-0.04</v>
      </c>
      <c r="AC9" s="60">
        <f t="shared" si="1"/>
        <v>-0.04</v>
      </c>
      <c r="AD9" s="26">
        <v>-1</v>
      </c>
      <c r="AE9" s="60">
        <f t="shared" si="1"/>
        <v>-0.04</v>
      </c>
      <c r="AH9" s="3">
        <f t="shared" si="6"/>
        <v>-4</v>
      </c>
      <c r="AI9" s="3">
        <f t="shared" si="2"/>
        <v>-4</v>
      </c>
      <c r="AJ9" s="3">
        <f t="shared" si="2"/>
        <v>-4</v>
      </c>
      <c r="AK9" s="3">
        <f t="shared" si="2"/>
        <v>-4</v>
      </c>
      <c r="AL9" s="3">
        <f t="shared" si="2"/>
        <v>0</v>
      </c>
      <c r="AM9" s="3">
        <f t="shared" si="2"/>
        <v>-4</v>
      </c>
      <c r="AN9" s="3">
        <f t="shared" si="2"/>
        <v>0</v>
      </c>
      <c r="AO9" s="4">
        <f>SUM(AH9:AN9)</f>
        <v>-20</v>
      </c>
    </row>
    <row r="10" spans="2:41">
      <c r="I10" s="27" t="s">
        <v>1</v>
      </c>
      <c r="J10" s="28">
        <f>0.8*B2+0.1*B2+0.1*C2</f>
        <v>-0.1</v>
      </c>
      <c r="K10" s="40"/>
      <c r="L10" s="28">
        <f>0.8*D2+0.1*C2+0.1*E2</f>
        <v>-0.1</v>
      </c>
      <c r="M10" s="28">
        <f>0.8*E2+0.1*D2+0.1*E2</f>
        <v>0</v>
      </c>
      <c r="N10" s="34"/>
      <c r="O10" s="34"/>
      <c r="Q10" s="27" t="s">
        <v>1</v>
      </c>
      <c r="R10" s="49">
        <f>J10</f>
        <v>-0.1</v>
      </c>
      <c r="S10" s="52"/>
      <c r="T10" s="28">
        <f>L10</f>
        <v>-0.1</v>
      </c>
      <c r="U10" s="28">
        <f>M10</f>
        <v>0</v>
      </c>
      <c r="V10" s="53"/>
      <c r="W10" s="47"/>
      <c r="AO10" s="29">
        <f>SUM(AO2:AO9)</f>
        <v>36</v>
      </c>
    </row>
    <row r="11" spans="2:41" ht="13.5" customHeight="1">
      <c r="I11" s="27" t="s">
        <v>2</v>
      </c>
      <c r="J11" s="30">
        <f>0.1*B2+0.9*B2</f>
        <v>0</v>
      </c>
      <c r="K11" s="41"/>
      <c r="L11" s="30">
        <f>0.1*D2+0.9*C2</f>
        <v>-0.9</v>
      </c>
      <c r="M11" s="30">
        <f>0.1*E2+0.9*D2</f>
        <v>0</v>
      </c>
      <c r="N11" s="35"/>
      <c r="O11" s="35"/>
      <c r="Q11" s="27" t="s">
        <v>2</v>
      </c>
      <c r="R11" s="50">
        <f t="shared" ref="R11:R41" si="14">J11</f>
        <v>0</v>
      </c>
      <c r="S11" s="54"/>
      <c r="T11" s="30">
        <f t="shared" ref="T11:T41" si="15">L11</f>
        <v>-0.9</v>
      </c>
      <c r="U11" s="30">
        <f t="shared" ref="U11:U21" si="16">M11</f>
        <v>0</v>
      </c>
      <c r="V11" s="43"/>
      <c r="W11" s="48"/>
    </row>
    <row r="12" spans="2:41">
      <c r="I12" s="27" t="s">
        <v>3</v>
      </c>
      <c r="J12" s="30">
        <f>0.1*B2+0.8*C2+0.1*B3</f>
        <v>-0.8</v>
      </c>
      <c r="K12" s="41"/>
      <c r="L12" s="30">
        <f>0.1*D2+0.8*E2+0.1*D3</f>
        <v>0</v>
      </c>
      <c r="M12" s="30">
        <f>0.1*E2+0.8*E2+0.1*E3</f>
        <v>0</v>
      </c>
      <c r="N12" s="35"/>
      <c r="O12" s="35"/>
      <c r="Q12" s="27" t="s">
        <v>3</v>
      </c>
      <c r="R12" s="50">
        <f t="shared" si="14"/>
        <v>-0.8</v>
      </c>
      <c r="S12" s="54"/>
      <c r="T12" s="30">
        <f t="shared" si="15"/>
        <v>0</v>
      </c>
      <c r="U12" s="30">
        <f t="shared" si="16"/>
        <v>0</v>
      </c>
      <c r="V12" s="43"/>
      <c r="W12" s="48"/>
    </row>
    <row r="13" spans="2:41" ht="29.25" thickBot="1">
      <c r="B13" s="63" t="s">
        <v>12</v>
      </c>
      <c r="C13" s="63"/>
      <c r="D13" s="63"/>
      <c r="E13" s="63"/>
      <c r="F13" s="63"/>
      <c r="G13" s="63"/>
      <c r="I13" s="27" t="s">
        <v>4</v>
      </c>
      <c r="J13" s="31">
        <f>0.1*C2+0.9*B3</f>
        <v>-0.1</v>
      </c>
      <c r="K13" s="42"/>
      <c r="L13" s="31">
        <f>0.1*E2+0.9*D3</f>
        <v>0</v>
      </c>
      <c r="M13" s="31">
        <f>0.1*E2+0.9*E3</f>
        <v>0</v>
      </c>
      <c r="N13" s="36"/>
      <c r="O13" s="36"/>
      <c r="Q13" s="27" t="s">
        <v>4</v>
      </c>
      <c r="R13" s="51">
        <f t="shared" si="14"/>
        <v>-0.1</v>
      </c>
      <c r="S13" s="54"/>
      <c r="T13" s="31">
        <f t="shared" si="15"/>
        <v>0</v>
      </c>
      <c r="U13" s="30">
        <f t="shared" si="16"/>
        <v>0</v>
      </c>
      <c r="V13" s="43"/>
      <c r="W13" s="48"/>
    </row>
    <row r="14" spans="2:41" ht="15.75" thickBot="1">
      <c r="B14" s="23" t="s">
        <v>11</v>
      </c>
      <c r="C14" s="17" t="s">
        <v>7</v>
      </c>
      <c r="D14" s="18" t="s">
        <v>8</v>
      </c>
      <c r="E14" s="64" t="s">
        <v>9</v>
      </c>
      <c r="F14" s="64"/>
      <c r="G14" s="19" t="s">
        <v>10</v>
      </c>
      <c r="I14" s="27" t="s">
        <v>1</v>
      </c>
      <c r="J14" s="28">
        <f>0.8*B2+0.1*B3+0.1*C3</f>
        <v>0</v>
      </c>
      <c r="K14" s="28">
        <f>0.8*C2+0.1*B3+0.1*D3</f>
        <v>-0.8</v>
      </c>
      <c r="L14" s="28">
        <f>0.8*D2+0.1*C3+0.1*E3</f>
        <v>0</v>
      </c>
      <c r="M14" s="28">
        <f>0.8*E2+0.1*D3+0.1*F3</f>
        <v>0</v>
      </c>
      <c r="N14" s="28">
        <f>0.8*F3+0.1*E3+0.1*G3</f>
        <v>0</v>
      </c>
      <c r="O14" s="28">
        <f>0.8*G3+0.1*F3+0.1*G3</f>
        <v>0</v>
      </c>
      <c r="Q14" s="27" t="s">
        <v>1</v>
      </c>
      <c r="R14" s="49">
        <f t="shared" si="14"/>
        <v>0</v>
      </c>
      <c r="S14" s="28">
        <f>K14</f>
        <v>-0.8</v>
      </c>
      <c r="T14" s="28">
        <f t="shared" si="15"/>
        <v>0</v>
      </c>
      <c r="U14" s="49">
        <f t="shared" si="16"/>
        <v>0</v>
      </c>
      <c r="V14" s="28">
        <f>N14</f>
        <v>0</v>
      </c>
      <c r="W14" s="44">
        <f>O14</f>
        <v>0</v>
      </c>
    </row>
    <row r="15" spans="2:41">
      <c r="B15" s="22" t="s">
        <v>7</v>
      </c>
      <c r="C15" s="13">
        <v>0.8</v>
      </c>
      <c r="D15" s="11">
        <v>0.1</v>
      </c>
      <c r="E15" s="65">
        <v>0.1</v>
      </c>
      <c r="F15" s="65"/>
      <c r="G15" s="12">
        <v>0</v>
      </c>
      <c r="I15" s="27" t="s">
        <v>2</v>
      </c>
      <c r="J15" s="30">
        <f>0.1*B2+0.9*B3</f>
        <v>0</v>
      </c>
      <c r="K15" s="30">
        <f>0.1*C2+0.9*B3</f>
        <v>-0.1</v>
      </c>
      <c r="L15" s="30">
        <f>0.1*D2+0.9*C3</f>
        <v>0</v>
      </c>
      <c r="M15" s="30">
        <f>0.1*E2+0.9*D3</f>
        <v>0</v>
      </c>
      <c r="N15" s="30">
        <f>0.1*F3+0.9*E3</f>
        <v>0</v>
      </c>
      <c r="O15" s="30">
        <f>0.1*G3+0.9*F3</f>
        <v>0</v>
      </c>
      <c r="Q15" s="27" t="s">
        <v>2</v>
      </c>
      <c r="R15" s="50">
        <f t="shared" si="14"/>
        <v>0</v>
      </c>
      <c r="S15" s="30">
        <f t="shared" ref="S15:S17" si="17">K15</f>
        <v>-0.1</v>
      </c>
      <c r="T15" s="30">
        <f t="shared" si="15"/>
        <v>0</v>
      </c>
      <c r="U15" s="50">
        <f t="shared" si="16"/>
        <v>0</v>
      </c>
      <c r="V15" s="30">
        <f t="shared" ref="V15:V21" si="18">N15</f>
        <v>0</v>
      </c>
      <c r="W15" s="45">
        <f t="shared" ref="W15:W41" si="19">O15</f>
        <v>0</v>
      </c>
    </row>
    <row r="16" spans="2:41">
      <c r="B16" s="20" t="s">
        <v>8</v>
      </c>
      <c r="C16" s="14">
        <v>0.1</v>
      </c>
      <c r="D16" s="5">
        <v>0.9</v>
      </c>
      <c r="E16" s="66">
        <v>0</v>
      </c>
      <c r="F16" s="66"/>
      <c r="G16" s="6">
        <v>0</v>
      </c>
      <c r="I16" s="27" t="s">
        <v>3</v>
      </c>
      <c r="J16" s="30">
        <f>0.1*B2+0.8*C3+0.1*B4</f>
        <v>0</v>
      </c>
      <c r="K16" s="30">
        <f>0.1*C2+0.8*D3+0.1*C3</f>
        <v>-0.1</v>
      </c>
      <c r="L16" s="30">
        <f>0.1*D2+0.8*E3+0.1*D4</f>
        <v>0</v>
      </c>
      <c r="M16" s="30">
        <f>0.1*E2+0.8*F3+0.1*E4</f>
        <v>0</v>
      </c>
      <c r="N16" s="30">
        <f>0.1*F3+0.8*G3+0.1*F4</f>
        <v>0</v>
      </c>
      <c r="O16" s="30">
        <f>0.1*G3+0.8*G3+0.1*G4</f>
        <v>0</v>
      </c>
      <c r="Q16" s="27" t="s">
        <v>3</v>
      </c>
      <c r="R16" s="50">
        <f t="shared" si="14"/>
        <v>0</v>
      </c>
      <c r="S16" s="30">
        <f t="shared" si="17"/>
        <v>-0.1</v>
      </c>
      <c r="T16" s="30">
        <f t="shared" si="15"/>
        <v>0</v>
      </c>
      <c r="U16" s="50">
        <f t="shared" si="16"/>
        <v>0</v>
      </c>
      <c r="V16" s="30">
        <f t="shared" si="18"/>
        <v>0</v>
      </c>
      <c r="W16" s="45">
        <f t="shared" si="19"/>
        <v>0</v>
      </c>
    </row>
    <row r="17" spans="2:23">
      <c r="B17" s="20" t="s">
        <v>9</v>
      </c>
      <c r="C17" s="15">
        <v>0.1</v>
      </c>
      <c r="D17" s="9">
        <v>0</v>
      </c>
      <c r="E17" s="67">
        <v>0.8</v>
      </c>
      <c r="F17" s="67"/>
      <c r="G17" s="10">
        <v>0.1</v>
      </c>
      <c r="I17" s="27" t="s">
        <v>4</v>
      </c>
      <c r="J17" s="31">
        <f>0.1*C3+0.9*B4</f>
        <v>0</v>
      </c>
      <c r="K17" s="31">
        <f>0.1*D3+0.9*C3</f>
        <v>0</v>
      </c>
      <c r="L17" s="31">
        <f>0.1*E3+0.9*D4</f>
        <v>0</v>
      </c>
      <c r="M17" s="31">
        <f>0.1*F3+0.9*E4</f>
        <v>0</v>
      </c>
      <c r="N17" s="31">
        <f>0.1*G3+0.9*F4</f>
        <v>0</v>
      </c>
      <c r="O17" s="31">
        <f>0.1*G3+0.9*G4</f>
        <v>0</v>
      </c>
      <c r="Q17" s="27" t="s">
        <v>4</v>
      </c>
      <c r="R17" s="51">
        <f t="shared" si="14"/>
        <v>0</v>
      </c>
      <c r="S17" s="31">
        <f t="shared" si="17"/>
        <v>0</v>
      </c>
      <c r="T17" s="31">
        <f t="shared" si="15"/>
        <v>0</v>
      </c>
      <c r="U17" s="51">
        <f t="shared" si="16"/>
        <v>0</v>
      </c>
      <c r="V17" s="31">
        <f t="shared" si="18"/>
        <v>0</v>
      </c>
      <c r="W17" s="46">
        <f t="shared" si="19"/>
        <v>0</v>
      </c>
    </row>
    <row r="18" spans="2:23" ht="15.75" thickBot="1">
      <c r="B18" s="21" t="s">
        <v>10</v>
      </c>
      <c r="C18" s="16">
        <v>0</v>
      </c>
      <c r="D18" s="7">
        <v>0</v>
      </c>
      <c r="E18" s="61">
        <v>0.1</v>
      </c>
      <c r="F18" s="61"/>
      <c r="G18" s="8">
        <v>0.9</v>
      </c>
      <c r="I18" s="27" t="s">
        <v>1</v>
      </c>
      <c r="J18" s="28">
        <f>0.8*B3+0.1*B4+0.1*B4</f>
        <v>0</v>
      </c>
      <c r="K18" s="34"/>
      <c r="L18" s="28">
        <f>0.8*D3+0.1*D4+0.1*E4</f>
        <v>0</v>
      </c>
      <c r="M18" s="28">
        <f>0.8*E3+0.1*D4+0.1*F4</f>
        <v>0</v>
      </c>
      <c r="N18" s="28">
        <f>0.8*F3+0.1*E4+0.1*G4</f>
        <v>0</v>
      </c>
      <c r="O18" s="28">
        <f>0.8*G3+0.1*F4+0.1*G4</f>
        <v>0</v>
      </c>
      <c r="Q18" s="27" t="s">
        <v>1</v>
      </c>
      <c r="R18" s="49">
        <f t="shared" si="14"/>
        <v>0</v>
      </c>
      <c r="S18" s="55"/>
      <c r="T18" s="28">
        <f t="shared" si="15"/>
        <v>0</v>
      </c>
      <c r="U18" s="49">
        <f t="shared" si="16"/>
        <v>0</v>
      </c>
      <c r="V18" s="28">
        <f t="shared" si="18"/>
        <v>0</v>
      </c>
      <c r="W18" s="44">
        <f t="shared" si="19"/>
        <v>0</v>
      </c>
    </row>
    <row r="19" spans="2:23">
      <c r="I19" s="27" t="s">
        <v>2</v>
      </c>
      <c r="J19" s="30">
        <f>0.1*B3+0.9*B4</f>
        <v>0</v>
      </c>
      <c r="K19" s="35"/>
      <c r="L19" s="30">
        <f>0.1*D3+0.9*D4</f>
        <v>0</v>
      </c>
      <c r="M19" s="30">
        <f>0.1*E3+0.9*D4</f>
        <v>0</v>
      </c>
      <c r="N19" s="30">
        <f>0.1*F3+0.9*E4</f>
        <v>0</v>
      </c>
      <c r="O19" s="30">
        <f>0.1*G3+0.9*F4</f>
        <v>0</v>
      </c>
      <c r="Q19" s="27" t="s">
        <v>2</v>
      </c>
      <c r="R19" s="50">
        <f t="shared" si="14"/>
        <v>0</v>
      </c>
      <c r="S19" s="55"/>
      <c r="T19" s="30">
        <f t="shared" si="15"/>
        <v>0</v>
      </c>
      <c r="U19" s="50">
        <f t="shared" si="16"/>
        <v>0</v>
      </c>
      <c r="V19" s="30">
        <f t="shared" si="18"/>
        <v>0</v>
      </c>
      <c r="W19" s="45">
        <f t="shared" si="19"/>
        <v>0</v>
      </c>
    </row>
    <row r="20" spans="2:23">
      <c r="I20" s="27" t="s">
        <v>3</v>
      </c>
      <c r="J20" s="30">
        <f>0.1*B3+0.8*B4+0.1*B5</f>
        <v>0</v>
      </c>
      <c r="K20" s="35"/>
      <c r="L20" s="30">
        <f>0.1*D3+0.8*E4+0.1*D5</f>
        <v>0</v>
      </c>
      <c r="M20" s="30">
        <f>0.1*E3+0.8*F4+0.1*E4</f>
        <v>0</v>
      </c>
      <c r="N20" s="30">
        <f>0.1*F3+0.8*G4+0.1*F5</f>
        <v>0.1</v>
      </c>
      <c r="O20" s="30">
        <f>0.1*G3+0.8*G4+0.1*G5</f>
        <v>0</v>
      </c>
      <c r="Q20" s="27" t="s">
        <v>3</v>
      </c>
      <c r="R20" s="50">
        <f t="shared" si="14"/>
        <v>0</v>
      </c>
      <c r="S20" s="55"/>
      <c r="T20" s="30">
        <f t="shared" si="15"/>
        <v>0</v>
      </c>
      <c r="U20" s="50">
        <f t="shared" si="16"/>
        <v>0</v>
      </c>
      <c r="V20" s="30">
        <f t="shared" si="18"/>
        <v>0.1</v>
      </c>
      <c r="W20" s="45">
        <f t="shared" si="19"/>
        <v>0</v>
      </c>
    </row>
    <row r="21" spans="2:23">
      <c r="I21" s="27" t="s">
        <v>4</v>
      </c>
      <c r="J21" s="31">
        <f>0.1*B4+0.9*B5</f>
        <v>0</v>
      </c>
      <c r="K21" s="36"/>
      <c r="L21" s="31">
        <f>0.1*E4+0.9*D5</f>
        <v>0</v>
      </c>
      <c r="M21" s="31">
        <f>0.1*F4+0.9*E4</f>
        <v>0</v>
      </c>
      <c r="N21" s="31">
        <f>0.1*G4+0.9*F5</f>
        <v>0.9</v>
      </c>
      <c r="O21" s="31">
        <f>0.1*G4+0.9*G5</f>
        <v>0</v>
      </c>
      <c r="Q21" s="27" t="s">
        <v>4</v>
      </c>
      <c r="R21" s="51">
        <f t="shared" si="14"/>
        <v>0</v>
      </c>
      <c r="S21" s="55"/>
      <c r="T21" s="31">
        <f t="shared" si="15"/>
        <v>0</v>
      </c>
      <c r="U21" s="51">
        <f t="shared" si="16"/>
        <v>0</v>
      </c>
      <c r="V21" s="31">
        <f t="shared" si="18"/>
        <v>0.9</v>
      </c>
      <c r="W21" s="46">
        <f t="shared" si="19"/>
        <v>0</v>
      </c>
    </row>
    <row r="22" spans="2:23">
      <c r="I22" s="27" t="s">
        <v>1</v>
      </c>
      <c r="J22" s="28">
        <f>0.8*B4+0.1*B5+0.1*B5</f>
        <v>0</v>
      </c>
      <c r="K22" s="34"/>
      <c r="L22" s="28">
        <f>0.8*D4+0.1*D5+0.1*D5</f>
        <v>0</v>
      </c>
      <c r="M22" s="34"/>
      <c r="N22" s="37"/>
      <c r="O22" s="28">
        <f>0.8*G4+0.1*F5+0.1*G5</f>
        <v>0.1</v>
      </c>
      <c r="Q22" s="27" t="s">
        <v>1</v>
      </c>
      <c r="R22" s="49">
        <f t="shared" si="14"/>
        <v>0</v>
      </c>
      <c r="S22" s="55"/>
      <c r="T22" s="28">
        <f t="shared" si="15"/>
        <v>0</v>
      </c>
      <c r="U22" s="57"/>
      <c r="V22" s="37"/>
      <c r="W22" s="44">
        <f t="shared" si="19"/>
        <v>0.1</v>
      </c>
    </row>
    <row r="23" spans="2:23">
      <c r="I23" s="27" t="s">
        <v>2</v>
      </c>
      <c r="J23" s="30">
        <f>0.1*B4+0.9*B5</f>
        <v>0</v>
      </c>
      <c r="K23" s="35"/>
      <c r="L23" s="30">
        <f>0.1*D4+0.9*D5</f>
        <v>0</v>
      </c>
      <c r="M23" s="35"/>
      <c r="N23" s="38"/>
      <c r="O23" s="30">
        <f>-0.1*G4+0.9*F5</f>
        <v>0.9</v>
      </c>
      <c r="Q23" s="27" t="s">
        <v>2</v>
      </c>
      <c r="R23" s="50">
        <f t="shared" si="14"/>
        <v>0</v>
      </c>
      <c r="S23" s="55"/>
      <c r="T23" s="30">
        <f t="shared" si="15"/>
        <v>0</v>
      </c>
      <c r="U23" s="55"/>
      <c r="V23" s="38"/>
      <c r="W23" s="45">
        <f t="shared" si="19"/>
        <v>0.9</v>
      </c>
    </row>
    <row r="24" spans="2:23">
      <c r="I24" s="27" t="s">
        <v>3</v>
      </c>
      <c r="J24" s="30">
        <f>0.1*B4+0.8*B5+0.1*B6</f>
        <v>0</v>
      </c>
      <c r="K24" s="35"/>
      <c r="L24" s="30">
        <f>0.1*D4+0.8*D5+0.1*D6</f>
        <v>0</v>
      </c>
      <c r="M24" s="35"/>
      <c r="N24" s="38"/>
      <c r="O24" s="30">
        <f>0.1*G4+0.8*G5+0.1*G6</f>
        <v>0</v>
      </c>
      <c r="Q24" s="27" t="s">
        <v>3</v>
      </c>
      <c r="R24" s="50">
        <f t="shared" si="14"/>
        <v>0</v>
      </c>
      <c r="S24" s="55"/>
      <c r="T24" s="30">
        <f t="shared" si="15"/>
        <v>0</v>
      </c>
      <c r="U24" s="55"/>
      <c r="V24" s="38"/>
      <c r="W24" s="45">
        <f t="shared" si="19"/>
        <v>0</v>
      </c>
    </row>
    <row r="25" spans="2:23">
      <c r="I25" s="27" t="s">
        <v>4</v>
      </c>
      <c r="J25" s="31">
        <f>0.1*B5+0.9*B6</f>
        <v>0</v>
      </c>
      <c r="K25" s="36"/>
      <c r="L25" s="31">
        <f>0.1*D5+0.9*D6</f>
        <v>0</v>
      </c>
      <c r="M25" s="36"/>
      <c r="N25" s="39"/>
      <c r="O25" s="31">
        <f>0.1*G5+0.9*G6</f>
        <v>0</v>
      </c>
      <c r="Q25" s="27" t="s">
        <v>4</v>
      </c>
      <c r="R25" s="51">
        <f t="shared" si="14"/>
        <v>0</v>
      </c>
      <c r="S25" s="55"/>
      <c r="T25" s="31">
        <f t="shared" si="15"/>
        <v>0</v>
      </c>
      <c r="U25" s="58"/>
      <c r="V25" s="39"/>
      <c r="W25" s="46">
        <f t="shared" si="19"/>
        <v>0</v>
      </c>
    </row>
    <row r="26" spans="2:23">
      <c r="I26" s="27" t="s">
        <v>1</v>
      </c>
      <c r="J26" s="28">
        <f>0.8*B5+0.1*B6+0.1*B6</f>
        <v>0</v>
      </c>
      <c r="K26" s="34"/>
      <c r="L26" s="28">
        <f>0.8*D5+0.1*D6+0.1*E6</f>
        <v>0</v>
      </c>
      <c r="M26" s="28">
        <f>0.8*E6+0.1*D6+0.1*E6</f>
        <v>0</v>
      </c>
      <c r="N26" s="34"/>
      <c r="O26" s="28">
        <f>0.8*G5+0.1*G6+0.1*G6</f>
        <v>0</v>
      </c>
      <c r="Q26" s="27" t="s">
        <v>1</v>
      </c>
      <c r="R26" s="49">
        <f t="shared" si="14"/>
        <v>0</v>
      </c>
      <c r="S26" s="55"/>
      <c r="T26" s="28">
        <f t="shared" si="15"/>
        <v>0</v>
      </c>
      <c r="U26" s="49">
        <f>M26</f>
        <v>0</v>
      </c>
      <c r="V26" s="34"/>
      <c r="W26" s="44">
        <f t="shared" si="19"/>
        <v>0</v>
      </c>
    </row>
    <row r="27" spans="2:23">
      <c r="I27" s="27" t="s">
        <v>2</v>
      </c>
      <c r="J27" s="30">
        <f>0.1*B5+0.9*B6</f>
        <v>0</v>
      </c>
      <c r="K27" s="35"/>
      <c r="L27" s="30">
        <f>0.1*D5+0.9*D6</f>
        <v>0</v>
      </c>
      <c r="M27" s="30">
        <f>0.1*E6+0.9*D6</f>
        <v>0</v>
      </c>
      <c r="N27" s="35"/>
      <c r="O27" s="30">
        <f>0.1*G5+0.9*G6</f>
        <v>0</v>
      </c>
      <c r="Q27" s="27" t="s">
        <v>2</v>
      </c>
      <c r="R27" s="50">
        <f t="shared" si="14"/>
        <v>0</v>
      </c>
      <c r="S27" s="55"/>
      <c r="T27" s="30">
        <f t="shared" si="15"/>
        <v>0</v>
      </c>
      <c r="U27" s="50">
        <f t="shared" ref="U27:U41" si="20">M27</f>
        <v>0</v>
      </c>
      <c r="V27" s="35"/>
      <c r="W27" s="45">
        <f t="shared" si="19"/>
        <v>0</v>
      </c>
    </row>
    <row r="28" spans="2:23">
      <c r="I28" s="27" t="s">
        <v>3</v>
      </c>
      <c r="J28" s="30">
        <f>0.1*B6+0.8*B6+0.1*B7</f>
        <v>0</v>
      </c>
      <c r="K28" s="35"/>
      <c r="L28" s="30">
        <f>0.1*D5+0.8*E6+0.1*D7</f>
        <v>0</v>
      </c>
      <c r="M28" s="30">
        <f>0.1*E6+0.8*E6+0.1*E7</f>
        <v>0</v>
      </c>
      <c r="N28" s="35"/>
      <c r="O28" s="30">
        <f>0.1*G5+0.8*G6+0.1*G7</f>
        <v>0</v>
      </c>
      <c r="Q28" s="27" t="s">
        <v>3</v>
      </c>
      <c r="R28" s="50">
        <f t="shared" si="14"/>
        <v>0</v>
      </c>
      <c r="S28" s="55"/>
      <c r="T28" s="30">
        <f t="shared" si="15"/>
        <v>0</v>
      </c>
      <c r="U28" s="50">
        <f t="shared" si="20"/>
        <v>0</v>
      </c>
      <c r="V28" s="35"/>
      <c r="W28" s="45">
        <f t="shared" si="19"/>
        <v>0</v>
      </c>
    </row>
    <row r="29" spans="2:23">
      <c r="I29" s="27" t="s">
        <v>4</v>
      </c>
      <c r="J29" s="31">
        <f>0.1*B6+0.9*B7</f>
        <v>0</v>
      </c>
      <c r="K29" s="35"/>
      <c r="L29" s="30">
        <f>0.1*E6+0.9*D7</f>
        <v>0</v>
      </c>
      <c r="M29" s="30">
        <f>0.1*E6+0.9*E7</f>
        <v>0</v>
      </c>
      <c r="N29" s="35"/>
      <c r="O29" s="30">
        <f>0.1*G6+0.9*G7</f>
        <v>0</v>
      </c>
      <c r="Q29" s="27" t="s">
        <v>4</v>
      </c>
      <c r="R29" s="51">
        <f t="shared" si="14"/>
        <v>0</v>
      </c>
      <c r="S29" s="55"/>
      <c r="T29" s="31">
        <f t="shared" si="15"/>
        <v>0</v>
      </c>
      <c r="U29" s="51">
        <f t="shared" si="20"/>
        <v>0</v>
      </c>
      <c r="V29" s="36"/>
      <c r="W29" s="46">
        <f t="shared" si="19"/>
        <v>0</v>
      </c>
    </row>
    <row r="30" spans="2:23">
      <c r="I30" s="27" t="s">
        <v>1</v>
      </c>
      <c r="J30" s="28">
        <f>0.8*B6+0.1*B7+0.1*B7</f>
        <v>0</v>
      </c>
      <c r="K30" s="34"/>
      <c r="L30" s="28">
        <f>0.8*D6+0.1*D7+0.1*E7</f>
        <v>0</v>
      </c>
      <c r="M30" s="28">
        <f>0.8*E6+0.1*D7+0.1*F7</f>
        <v>0</v>
      </c>
      <c r="N30" s="28">
        <f>0.8*F7+0.1*E7+0.1*G7</f>
        <v>0</v>
      </c>
      <c r="O30" s="28">
        <f>0.8*G6+0.1*F7+0.1*G7</f>
        <v>0</v>
      </c>
      <c r="Q30" s="27" t="s">
        <v>1</v>
      </c>
      <c r="R30" s="49">
        <f t="shared" si="14"/>
        <v>0</v>
      </c>
      <c r="S30" s="55"/>
      <c r="T30" s="28">
        <f t="shared" si="15"/>
        <v>0</v>
      </c>
      <c r="U30" s="49">
        <f t="shared" si="20"/>
        <v>0</v>
      </c>
      <c r="V30" s="28">
        <f>N30</f>
        <v>0</v>
      </c>
      <c r="W30" s="44">
        <f t="shared" si="19"/>
        <v>0</v>
      </c>
    </row>
    <row r="31" spans="2:23">
      <c r="I31" s="27" t="s">
        <v>2</v>
      </c>
      <c r="J31" s="30">
        <f>0.1*B6+0.9*B7</f>
        <v>0</v>
      </c>
      <c r="K31" s="35"/>
      <c r="L31" s="30">
        <f>0.1*D6+0.9*D7</f>
        <v>0</v>
      </c>
      <c r="M31" s="30">
        <f>0.1*E6+0.9*D7</f>
        <v>0</v>
      </c>
      <c r="N31" s="30">
        <f>0.1*F7+0.9*E7</f>
        <v>0</v>
      </c>
      <c r="O31" s="30">
        <f>0.1*G6+0.9*F7</f>
        <v>0</v>
      </c>
      <c r="Q31" s="27" t="s">
        <v>2</v>
      </c>
      <c r="R31" s="50">
        <f t="shared" si="14"/>
        <v>0</v>
      </c>
      <c r="S31" s="55"/>
      <c r="T31" s="30">
        <f t="shared" si="15"/>
        <v>0</v>
      </c>
      <c r="U31" s="50">
        <f t="shared" si="20"/>
        <v>0</v>
      </c>
      <c r="V31" s="30">
        <f t="shared" ref="V31:V37" si="21">N31</f>
        <v>0</v>
      </c>
      <c r="W31" s="45">
        <f t="shared" si="19"/>
        <v>0</v>
      </c>
    </row>
    <row r="32" spans="2:23">
      <c r="I32" s="27" t="s">
        <v>3</v>
      </c>
      <c r="J32" s="30">
        <f>0.1*B6+0.8*B7+0.1*B8</f>
        <v>-0.1</v>
      </c>
      <c r="K32" s="35"/>
      <c r="L32" s="30">
        <f>0.1*D6+0.8*E7+0.1*D8</f>
        <v>0</v>
      </c>
      <c r="M32" s="30">
        <f>0.1*E6+0.8*F7+0.1*E8</f>
        <v>0</v>
      </c>
      <c r="N32" s="30">
        <f>0.1*F7+0.8*G7+0.1*F8</f>
        <v>0</v>
      </c>
      <c r="O32" s="30">
        <f>0.1*G6+0.8*G7+0.1*G8</f>
        <v>0</v>
      </c>
      <c r="Q32" s="27" t="s">
        <v>3</v>
      </c>
      <c r="R32" s="50">
        <f t="shared" si="14"/>
        <v>-0.1</v>
      </c>
      <c r="S32" s="55"/>
      <c r="T32" s="30">
        <f t="shared" si="15"/>
        <v>0</v>
      </c>
      <c r="U32" s="50">
        <f t="shared" si="20"/>
        <v>0</v>
      </c>
      <c r="V32" s="30">
        <f t="shared" si="21"/>
        <v>0</v>
      </c>
      <c r="W32" s="45">
        <f t="shared" si="19"/>
        <v>0</v>
      </c>
    </row>
    <row r="33" spans="9:23">
      <c r="I33" s="27" t="s">
        <v>4</v>
      </c>
      <c r="J33" s="31">
        <f>0.1*B7+0.9*B8</f>
        <v>-0.9</v>
      </c>
      <c r="K33" s="36"/>
      <c r="L33" s="31">
        <f>0.1*E7+0.9*D8</f>
        <v>0</v>
      </c>
      <c r="M33" s="31">
        <f>0.1*F7+0.9*E8</f>
        <v>0</v>
      </c>
      <c r="N33" s="31">
        <f>0.1*G7+0.9*F8</f>
        <v>0</v>
      </c>
      <c r="O33" s="31">
        <f>0.1*G7+0.9*G8</f>
        <v>0</v>
      </c>
      <c r="Q33" s="27" t="s">
        <v>4</v>
      </c>
      <c r="R33" s="51">
        <f t="shared" si="14"/>
        <v>-0.9</v>
      </c>
      <c r="S33" s="55"/>
      <c r="T33" s="31">
        <f t="shared" si="15"/>
        <v>0</v>
      </c>
      <c r="U33" s="51">
        <f t="shared" si="20"/>
        <v>0</v>
      </c>
      <c r="V33" s="31">
        <f t="shared" si="21"/>
        <v>0</v>
      </c>
      <c r="W33" s="46">
        <f t="shared" si="19"/>
        <v>0</v>
      </c>
    </row>
    <row r="34" spans="9:23">
      <c r="I34" s="27" t="s">
        <v>1</v>
      </c>
      <c r="J34" s="40"/>
      <c r="K34" s="28">
        <f>0.8*C8+0.1*B8+0.1*D8</f>
        <v>-0.1</v>
      </c>
      <c r="L34" s="28">
        <f>0.8*D7+0.1*C8+0.1*E8</f>
        <v>0</v>
      </c>
      <c r="M34" s="28">
        <f>0.8*E7+0.1*D8+0.1*F8</f>
        <v>0</v>
      </c>
      <c r="N34" s="28">
        <f>0.8*F7+0.1*E8+0.1*G8</f>
        <v>0</v>
      </c>
      <c r="O34" s="28">
        <f>0.8*G7+0.1*F8+0.1*G8</f>
        <v>0</v>
      </c>
      <c r="Q34" s="27" t="s">
        <v>1</v>
      </c>
      <c r="R34" s="52"/>
      <c r="S34" s="28">
        <f>K34</f>
        <v>-0.1</v>
      </c>
      <c r="T34" s="28">
        <f t="shared" si="15"/>
        <v>0</v>
      </c>
      <c r="U34" s="49">
        <f t="shared" si="20"/>
        <v>0</v>
      </c>
      <c r="V34" s="28">
        <f t="shared" si="21"/>
        <v>0</v>
      </c>
      <c r="W34" s="44">
        <f t="shared" si="19"/>
        <v>0</v>
      </c>
    </row>
    <row r="35" spans="9:23">
      <c r="I35" s="27" t="s">
        <v>2</v>
      </c>
      <c r="J35" s="41"/>
      <c r="K35" s="30">
        <f>0.1*C8+0.9*B8</f>
        <v>-0.9</v>
      </c>
      <c r="L35" s="30">
        <f>0.1*D7+0.9*C8</f>
        <v>0</v>
      </c>
      <c r="M35" s="30">
        <f>0.1*E7+0.9*D8</f>
        <v>0</v>
      </c>
      <c r="N35" s="30">
        <f>0.1*F7+0.9*E8</f>
        <v>0</v>
      </c>
      <c r="O35" s="30">
        <f>0.1*G7+0.9*F8</f>
        <v>0</v>
      </c>
      <c r="Q35" s="27" t="s">
        <v>2</v>
      </c>
      <c r="R35" s="54"/>
      <c r="S35" s="30">
        <f t="shared" ref="S35:S41" si="22">K35</f>
        <v>-0.9</v>
      </c>
      <c r="T35" s="30">
        <f t="shared" si="15"/>
        <v>0</v>
      </c>
      <c r="U35" s="50">
        <f t="shared" si="20"/>
        <v>0</v>
      </c>
      <c r="V35" s="30">
        <f t="shared" si="21"/>
        <v>0</v>
      </c>
      <c r="W35" s="45">
        <f t="shared" si="19"/>
        <v>0</v>
      </c>
    </row>
    <row r="36" spans="9:23">
      <c r="I36" s="27" t="s">
        <v>3</v>
      </c>
      <c r="J36" s="41"/>
      <c r="K36" s="30">
        <f>0.1*C8+0.8*D8+0.1*C9</f>
        <v>0</v>
      </c>
      <c r="L36" s="30">
        <f>0.1*D7+0.8*E8+0.1*D9</f>
        <v>0</v>
      </c>
      <c r="M36" s="30">
        <f>0.1*E7+0.8*F8+0.1*E9</f>
        <v>0</v>
      </c>
      <c r="N36" s="30">
        <f>0.1*F7+0.8*G8+0.1*F9</f>
        <v>-0.1</v>
      </c>
      <c r="O36" s="30">
        <f>0.1*G7+0.8*G8+0.1*G9</f>
        <v>0</v>
      </c>
      <c r="Q36" s="27" t="s">
        <v>3</v>
      </c>
      <c r="R36" s="54"/>
      <c r="S36" s="30">
        <f t="shared" si="22"/>
        <v>0</v>
      </c>
      <c r="T36" s="30">
        <f t="shared" si="15"/>
        <v>0</v>
      </c>
      <c r="U36" s="50">
        <f t="shared" si="20"/>
        <v>0</v>
      </c>
      <c r="V36" s="30">
        <f t="shared" si="21"/>
        <v>-0.1</v>
      </c>
      <c r="W36" s="45">
        <f t="shared" si="19"/>
        <v>0</v>
      </c>
    </row>
    <row r="37" spans="9:23">
      <c r="I37" s="27" t="s">
        <v>4</v>
      </c>
      <c r="J37" s="42"/>
      <c r="K37" s="31">
        <f>0.1*D8+0.9*C9</f>
        <v>0</v>
      </c>
      <c r="L37" s="31">
        <f>0.1*E8+0.9*D9</f>
        <v>0</v>
      </c>
      <c r="M37" s="31">
        <f>0.1*F8+0.9*E9</f>
        <v>0</v>
      </c>
      <c r="N37" s="31">
        <f>0.1*G8+0.9*F9</f>
        <v>-0.9</v>
      </c>
      <c r="O37" s="31">
        <f>0.1*G8+0.9*G9</f>
        <v>0</v>
      </c>
      <c r="Q37" s="27" t="s">
        <v>4</v>
      </c>
      <c r="R37" s="59"/>
      <c r="S37" s="31">
        <f t="shared" si="22"/>
        <v>0</v>
      </c>
      <c r="T37" s="31">
        <f t="shared" si="15"/>
        <v>0</v>
      </c>
      <c r="U37" s="51">
        <f t="shared" si="20"/>
        <v>0</v>
      </c>
      <c r="V37" s="31">
        <f t="shared" si="21"/>
        <v>-0.9</v>
      </c>
      <c r="W37" s="46">
        <f t="shared" si="19"/>
        <v>0</v>
      </c>
    </row>
    <row r="38" spans="9:23">
      <c r="I38" s="27" t="s">
        <v>1</v>
      </c>
      <c r="J38" s="28">
        <f>0.8*B8+0.1*B9+0.1*C9</f>
        <v>-0.8</v>
      </c>
      <c r="K38" s="28">
        <f>0.8*C8+0.1*B9+0.1*D9</f>
        <v>0</v>
      </c>
      <c r="L38" s="28">
        <f>0.8*D8+0.1*C9+0.1*E9</f>
        <v>0</v>
      </c>
      <c r="M38" s="28">
        <f>0.8*E8+0.1*D9+0.1*F9</f>
        <v>-0.1</v>
      </c>
      <c r="N38" s="40"/>
      <c r="O38" s="28">
        <f>0.8*G8+0.1*F9+0.1*G9</f>
        <v>-0.1</v>
      </c>
      <c r="Q38" s="27" t="s">
        <v>1</v>
      </c>
      <c r="R38" s="50">
        <f t="shared" si="14"/>
        <v>-0.8</v>
      </c>
      <c r="S38" s="50">
        <f t="shared" si="22"/>
        <v>0</v>
      </c>
      <c r="T38" s="28">
        <f t="shared" si="15"/>
        <v>0</v>
      </c>
      <c r="U38" s="2">
        <f t="shared" si="20"/>
        <v>-0.1</v>
      </c>
      <c r="V38" s="41"/>
      <c r="W38" s="45">
        <f t="shared" si="19"/>
        <v>-0.1</v>
      </c>
    </row>
    <row r="39" spans="9:23">
      <c r="I39" s="27" t="s">
        <v>2</v>
      </c>
      <c r="J39" s="30">
        <f>0.1*B8+0.9*B9</f>
        <v>-0.1</v>
      </c>
      <c r="K39" s="30">
        <f>0.1*C8+0.9*B9</f>
        <v>0</v>
      </c>
      <c r="L39" s="30">
        <f>0.1*D8+0.9*C9</f>
        <v>0</v>
      </c>
      <c r="M39" s="30">
        <f>0.1*E8+0.9*D9</f>
        <v>0</v>
      </c>
      <c r="N39" s="41"/>
      <c r="O39" s="30">
        <f>0.1*G8+0.9*F9</f>
        <v>-0.9</v>
      </c>
      <c r="Q39" s="27" t="s">
        <v>2</v>
      </c>
      <c r="R39" s="50">
        <f t="shared" si="14"/>
        <v>-0.1</v>
      </c>
      <c r="S39" s="50">
        <f t="shared" si="22"/>
        <v>0</v>
      </c>
      <c r="T39" s="30">
        <f>L39</f>
        <v>0</v>
      </c>
      <c r="U39" s="2">
        <f t="shared" si="20"/>
        <v>0</v>
      </c>
      <c r="V39" s="41"/>
      <c r="W39" s="45">
        <f t="shared" si="19"/>
        <v>-0.9</v>
      </c>
    </row>
    <row r="40" spans="9:23">
      <c r="I40" s="27" t="s">
        <v>3</v>
      </c>
      <c r="J40" s="30">
        <f>0.1*B8+0.8*C9+0.1*B9</f>
        <v>-0.1</v>
      </c>
      <c r="K40" s="30">
        <f>0.1*C8+0.8*D8+0.1*C9</f>
        <v>0</v>
      </c>
      <c r="L40" s="30">
        <f>0.1*D9+0.8*E9+0.1*D9</f>
        <v>0</v>
      </c>
      <c r="M40" s="30">
        <f>0.1*E8+0.8*F9+0.1*E9</f>
        <v>-0.8</v>
      </c>
      <c r="N40" s="41"/>
      <c r="O40" s="30">
        <f>0.1*G8+0.8*G9+0.1*G9</f>
        <v>0</v>
      </c>
      <c r="Q40" s="27" t="s">
        <v>3</v>
      </c>
      <c r="R40" s="50">
        <f t="shared" si="14"/>
        <v>-0.1</v>
      </c>
      <c r="S40" s="50">
        <f t="shared" si="22"/>
        <v>0</v>
      </c>
      <c r="T40" s="30">
        <f t="shared" si="15"/>
        <v>0</v>
      </c>
      <c r="U40" s="2">
        <f t="shared" si="20"/>
        <v>-0.8</v>
      </c>
      <c r="V40" s="41"/>
      <c r="W40" s="45">
        <f t="shared" si="19"/>
        <v>0</v>
      </c>
    </row>
    <row r="41" spans="9:23">
      <c r="I41" s="27" t="s">
        <v>4</v>
      </c>
      <c r="J41" s="31">
        <f>0.1*C9+0.9*B9</f>
        <v>0</v>
      </c>
      <c r="K41" s="31">
        <f>0.1*D9+0.9*C9</f>
        <v>0</v>
      </c>
      <c r="L41" s="31">
        <f>0.1*E9+0.9*D9</f>
        <v>0</v>
      </c>
      <c r="M41" s="31">
        <f>0.1*F9+0.9*E9</f>
        <v>-0.1</v>
      </c>
      <c r="N41" s="42"/>
      <c r="O41" s="31">
        <f>0.1*G9+0.9*G9</f>
        <v>0</v>
      </c>
      <c r="Q41" s="27" t="s">
        <v>4</v>
      </c>
      <c r="R41" s="51">
        <f t="shared" si="14"/>
        <v>0</v>
      </c>
      <c r="S41" s="51">
        <f t="shared" si="22"/>
        <v>0</v>
      </c>
      <c r="T41" s="31">
        <f t="shared" si="15"/>
        <v>0</v>
      </c>
      <c r="U41" s="56">
        <f t="shared" si="20"/>
        <v>-0.1</v>
      </c>
      <c r="V41" s="42"/>
      <c r="W41" s="46">
        <f t="shared" si="19"/>
        <v>0</v>
      </c>
    </row>
  </sheetData>
  <mergeCells count="10">
    <mergeCell ref="E17:F17"/>
    <mergeCell ref="E18:F18"/>
    <mergeCell ref="B1:G1"/>
    <mergeCell ref="J1:O1"/>
    <mergeCell ref="R1:W1"/>
    <mergeCell ref="Z1:AE1"/>
    <mergeCell ref="B13:G13"/>
    <mergeCell ref="E14:F14"/>
    <mergeCell ref="E15:F15"/>
    <mergeCell ref="E16:F1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54450016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Jumpol</dc:creator>
  <cp:lastModifiedBy>POG</cp:lastModifiedBy>
  <dcterms:created xsi:type="dcterms:W3CDTF">2011-01-29T16:57:36Z</dcterms:created>
  <dcterms:modified xsi:type="dcterms:W3CDTF">2012-04-11T18:39:28Z</dcterms:modified>
</cp:coreProperties>
</file>