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28755" windowHeight="12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N5" i="1"/>
  <c r="T5" s="1"/>
  <c r="N12"/>
  <c r="T12" s="1"/>
  <c r="N11"/>
  <c r="T11" s="1"/>
  <c r="N9"/>
  <c r="T9" s="1"/>
  <c r="O13"/>
  <c r="U13" s="1"/>
  <c r="O14"/>
  <c r="U14" s="1"/>
  <c r="O15"/>
  <c r="U15" s="1"/>
  <c r="P16"/>
  <c r="V16" s="1"/>
  <c r="P15"/>
  <c r="V15" s="1"/>
  <c r="P13"/>
  <c r="V13" s="1"/>
  <c r="P8"/>
  <c r="V8" s="1"/>
  <c r="P7"/>
  <c r="V7" s="1"/>
  <c r="P5"/>
  <c r="O8"/>
  <c r="U8" s="1"/>
  <c r="O7"/>
  <c r="U7" s="1"/>
  <c r="Q15"/>
  <c r="W15" s="1"/>
  <c r="N15"/>
  <c r="T15" s="1"/>
  <c r="AG3"/>
  <c r="AE3"/>
  <c r="AG2"/>
  <c r="N14"/>
  <c r="T14" s="1"/>
  <c r="P14"/>
  <c r="V14" s="1"/>
  <c r="Q14"/>
  <c r="W14" s="1"/>
  <c r="Q16"/>
  <c r="W16" s="1"/>
  <c r="N7"/>
  <c r="T7" s="1"/>
  <c r="Q13"/>
  <c r="O16"/>
  <c r="U16" s="1"/>
  <c r="N10"/>
  <c r="T10" s="1"/>
  <c r="N13"/>
  <c r="T13" s="1"/>
  <c r="N16"/>
  <c r="T16" s="1"/>
  <c r="P6"/>
  <c r="V6" s="1"/>
  <c r="O6"/>
  <c r="U6" s="1"/>
  <c r="O5"/>
  <c r="N8"/>
  <c r="T8" s="1"/>
  <c r="N6"/>
  <c r="T6" s="1"/>
  <c r="H3"/>
  <c r="H2"/>
  <c r="I2"/>
  <c r="J2"/>
  <c r="J4"/>
  <c r="I4"/>
  <c r="H4"/>
  <c r="AG4" l="1"/>
  <c r="T4"/>
  <c r="N4"/>
  <c r="Y4" s="1"/>
  <c r="AD4" s="1"/>
  <c r="W13"/>
  <c r="U4"/>
  <c r="V4"/>
  <c r="O4"/>
  <c r="Z4" s="1"/>
  <c r="AE4" s="1"/>
  <c r="P4"/>
  <c r="AA4" s="1"/>
  <c r="AF4" s="1"/>
  <c r="P2"/>
  <c r="AA2" s="1"/>
  <c r="AF2" s="1"/>
  <c r="AF3"/>
  <c r="T2"/>
  <c r="O2"/>
  <c r="Z2" s="1"/>
  <c r="AE2" s="1"/>
  <c r="V5"/>
  <c r="V2" s="1"/>
  <c r="T3"/>
  <c r="N3"/>
  <c r="Y3" s="1"/>
  <c r="AD3" s="1"/>
  <c r="U5"/>
  <c r="U2" s="1"/>
  <c r="N2"/>
  <c r="Y2" s="1"/>
  <c r="AD2" s="1"/>
  <c r="AH2" l="1"/>
  <c r="AH3"/>
  <c r="AH4"/>
  <c r="AH5" l="1"/>
  <c r="U21" s="1"/>
</calcChain>
</file>

<file path=xl/sharedStrings.xml><?xml version="1.0" encoding="utf-8"?>
<sst xmlns="http://schemas.openxmlformats.org/spreadsheetml/2006/main" count="39" uniqueCount="15">
  <si>
    <t>U</t>
  </si>
  <si>
    <t>R</t>
  </si>
  <si>
    <t>^</t>
  </si>
  <si>
    <t>&lt;</t>
  </si>
  <si>
    <t>&gt;</t>
  </si>
  <si>
    <t>v</t>
  </si>
  <si>
    <t>Max A</t>
  </si>
  <si>
    <t>New U</t>
  </si>
  <si>
    <t>Up</t>
  </si>
  <si>
    <t>Left</t>
  </si>
  <si>
    <t>Right</t>
  </si>
  <si>
    <t>Down</t>
  </si>
  <si>
    <t>Actions</t>
  </si>
  <si>
    <t>Uncertainty</t>
  </si>
  <si>
    <r>
      <rPr>
        <b/>
        <sz val="28"/>
        <color theme="1"/>
        <rFont val="Symbol"/>
        <family val="1"/>
        <charset val="2"/>
      </rPr>
      <t xml:space="preserve">p </t>
    </r>
    <r>
      <rPr>
        <b/>
        <sz val="22"/>
        <color theme="1"/>
        <rFont val="Tahoma"/>
        <family val="2"/>
        <scheme val="minor"/>
      </rPr>
      <t>(Action)</t>
    </r>
  </si>
</sst>
</file>

<file path=xl/styles.xml><?xml version="1.0" encoding="utf-8"?>
<styleSheet xmlns="http://schemas.openxmlformats.org/spreadsheetml/2006/main">
  <numFmts count="2">
    <numFmt numFmtId="187" formatCode="0.000"/>
    <numFmt numFmtId="188" formatCode="0.0"/>
  </numFmts>
  <fonts count="7">
    <font>
      <sz val="11"/>
      <color theme="1"/>
      <name val="Tahoma"/>
      <family val="2"/>
      <charset val="222"/>
      <scheme val="minor"/>
    </font>
    <font>
      <sz val="18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0"/>
      <color theme="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b/>
      <sz val="28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/>
    <xf numFmtId="0" fontId="0" fillId="0" borderId="0" xfId="0" applyFill="1" applyBorder="1" applyAlignment="1">
      <alignment horizontal="center" vertical="center"/>
    </xf>
    <xf numFmtId="0" fontId="0" fillId="6" borderId="0" xfId="0" applyFill="1"/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87" fontId="2" fillId="7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187" fontId="0" fillId="2" borderId="1" xfId="0" applyNumberFormat="1" applyFill="1" applyBorder="1" applyAlignment="1">
      <alignment horizontal="center" vertical="center"/>
    </xf>
    <xf numFmtId="0" fontId="0" fillId="0" borderId="0" xfId="0" applyFill="1" applyBorder="1"/>
    <xf numFmtId="1" fontId="0" fillId="8" borderId="0" xfId="0" applyNumberFormat="1" applyFill="1" applyAlignment="1">
      <alignment horizontal="center" vertical="center"/>
    </xf>
    <xf numFmtId="1" fontId="0" fillId="0" borderId="0" xfId="0" applyNumberFormat="1"/>
    <xf numFmtId="1" fontId="0" fillId="9" borderId="0" xfId="0" applyNumberFormat="1" applyFill="1"/>
    <xf numFmtId="187" fontId="0" fillId="0" borderId="0" xfId="0" applyNumberFormat="1" applyFill="1"/>
    <xf numFmtId="187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5" borderId="0" xfId="0" applyFont="1" applyFill="1"/>
    <xf numFmtId="0" fontId="4" fillId="6" borderId="0" xfId="0" applyFont="1" applyFill="1"/>
    <xf numFmtId="187" fontId="4" fillId="0" borderId="0" xfId="0" applyNumberFormat="1" applyFont="1"/>
    <xf numFmtId="0" fontId="4" fillId="0" borderId="0" xfId="0" applyFont="1"/>
    <xf numFmtId="0" fontId="4" fillId="0" borderId="0" xfId="0" applyFont="1" applyFill="1"/>
    <xf numFmtId="1" fontId="2" fillId="0" borderId="0" xfId="0" applyNumberFormat="1" applyFont="1" applyFill="1" applyBorder="1" applyAlignment="1">
      <alignment horizontal="center" vertical="center"/>
    </xf>
    <xf numFmtId="188" fontId="0" fillId="0" borderId="1" xfId="0" applyNumberFormat="1" applyBorder="1" applyAlignment="1">
      <alignment horizontal="center"/>
    </xf>
    <xf numFmtId="188" fontId="0" fillId="0" borderId="6" xfId="0" applyNumberFormat="1" applyBorder="1" applyAlignment="1">
      <alignment horizontal="center"/>
    </xf>
    <xf numFmtId="188" fontId="0" fillId="0" borderId="7" xfId="0" applyNumberFormat="1" applyBorder="1" applyAlignment="1">
      <alignment horizontal="center"/>
    </xf>
    <xf numFmtId="188" fontId="0" fillId="0" borderId="8" xfId="0" applyNumberFormat="1" applyBorder="1" applyAlignment="1">
      <alignment horizontal="center"/>
    </xf>
    <xf numFmtId="188" fontId="0" fillId="5" borderId="1" xfId="0" applyNumberFormat="1" applyFill="1" applyBorder="1" applyAlignment="1">
      <alignment horizontal="center"/>
    </xf>
    <xf numFmtId="188" fontId="0" fillId="5" borderId="6" xfId="0" applyNumberFormat="1" applyFill="1" applyBorder="1" applyAlignment="1">
      <alignment horizontal="center"/>
    </xf>
    <xf numFmtId="188" fontId="0" fillId="5" borderId="4" xfId="0" applyNumberFormat="1" applyFill="1" applyBorder="1" applyAlignment="1">
      <alignment horizontal="center"/>
    </xf>
    <xf numFmtId="188" fontId="0" fillId="5" borderId="5" xfId="0" applyNumberFormat="1" applyFill="1" applyBorder="1" applyAlignment="1">
      <alignment horizontal="center"/>
    </xf>
    <xf numFmtId="188" fontId="0" fillId="5" borderId="9" xfId="0" applyNumberFormat="1" applyFill="1" applyBorder="1" applyAlignment="1">
      <alignment horizontal="center"/>
    </xf>
    <xf numFmtId="188" fontId="0" fillId="0" borderId="10" xfId="0" applyNumberFormat="1" applyBorder="1" applyAlignment="1">
      <alignment horizontal="center"/>
    </xf>
    <xf numFmtId="188" fontId="0" fillId="5" borderId="10" xfId="0" applyNumberFormat="1" applyFill="1" applyBorder="1" applyAlignment="1">
      <alignment horizontal="center"/>
    </xf>
    <xf numFmtId="188" fontId="0" fillId="0" borderId="11" xfId="0" applyNumberForma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5" fillId="11" borderId="12" xfId="0" applyFont="1" applyFill="1" applyBorder="1"/>
    <xf numFmtId="0" fontId="5" fillId="11" borderId="13" xfId="0" applyFont="1" applyFill="1" applyBorder="1"/>
    <xf numFmtId="0" fontId="5" fillId="11" borderId="17" xfId="0" applyFont="1" applyFill="1" applyBorder="1"/>
    <xf numFmtId="0" fontId="2" fillId="11" borderId="3" xfId="0" applyFont="1" applyFill="1" applyBorder="1"/>
    <xf numFmtId="0" fontId="0" fillId="12" borderId="0" xfId="0" applyFill="1"/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0" xfId="0" applyFill="1" applyBorder="1"/>
    <xf numFmtId="187" fontId="2" fillId="12" borderId="0" xfId="0" applyNumberFormat="1" applyFont="1" applyFill="1" applyBorder="1" applyAlignment="1">
      <alignment horizontal="center" vertical="center"/>
    </xf>
    <xf numFmtId="0" fontId="1" fillId="12" borderId="0" xfId="0" applyNumberFormat="1" applyFont="1" applyFill="1" applyBorder="1" applyAlignment="1">
      <alignment horizontal="center" vertical="center"/>
    </xf>
    <xf numFmtId="187" fontId="0" fillId="12" borderId="0" xfId="0" applyNumberForma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0" fillId="13" borderId="1" xfId="0" applyFill="1" applyBorder="1"/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188" fontId="0" fillId="0" borderId="7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88" fontId="0" fillId="5" borderId="4" xfId="0" applyNumberFormat="1" applyFill="1" applyBorder="1" applyAlignment="1">
      <alignment horizontal="center"/>
    </xf>
    <xf numFmtId="188" fontId="0" fillId="0" borderId="1" xfId="0" applyNumberFormat="1" applyBorder="1" applyAlignment="1">
      <alignment horizontal="center"/>
    </xf>
    <xf numFmtId="188" fontId="0" fillId="5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</xdr:row>
      <xdr:rowOff>104775</xdr:rowOff>
    </xdr:from>
    <xdr:to>
      <xdr:col>3</xdr:col>
      <xdr:colOff>352425</xdr:colOff>
      <xdr:row>13</xdr:row>
      <xdr:rowOff>66675</xdr:rowOff>
    </xdr:to>
    <xdr:sp macro="[0]!StepMDP" textlink="">
      <xdr:nvSpPr>
        <xdr:cNvPr id="2" name="Rounded Rectangle 1"/>
        <xdr:cNvSpPr/>
      </xdr:nvSpPr>
      <xdr:spPr>
        <a:xfrm>
          <a:off x="266700" y="2809875"/>
          <a:ext cx="1704975" cy="685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Step</a:t>
          </a:r>
          <a:endParaRPr lang="th-TH" sz="36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5</xdr:row>
      <xdr:rowOff>47625</xdr:rowOff>
    </xdr:from>
    <xdr:to>
      <xdr:col>3</xdr:col>
      <xdr:colOff>219075</xdr:colOff>
      <xdr:row>8</xdr:row>
      <xdr:rowOff>171450</xdr:rowOff>
    </xdr:to>
    <xdr:sp macro="[0]!ClearToZero" textlink="">
      <xdr:nvSpPr>
        <xdr:cNvPr id="3" name="Rounded Rectangle 2"/>
        <xdr:cNvSpPr/>
      </xdr:nvSpPr>
      <xdr:spPr>
        <a:xfrm>
          <a:off x="257175" y="2028825"/>
          <a:ext cx="1581150" cy="6667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Clear</a:t>
          </a:r>
          <a:endParaRPr lang="th-TH" sz="14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14</xdr:row>
      <xdr:rowOff>9525</xdr:rowOff>
    </xdr:from>
    <xdr:to>
      <xdr:col>3</xdr:col>
      <xdr:colOff>657225</xdr:colOff>
      <xdr:row>18</xdr:row>
      <xdr:rowOff>0</xdr:rowOff>
    </xdr:to>
    <xdr:sp macro="[0]!RunMDP" textlink="">
      <xdr:nvSpPr>
        <xdr:cNvPr id="4" name="Rounded Rectangle 3"/>
        <xdr:cNvSpPr/>
      </xdr:nvSpPr>
      <xdr:spPr>
        <a:xfrm>
          <a:off x="257175" y="3619500"/>
          <a:ext cx="2019300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40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29"/>
  <sheetViews>
    <sheetView tabSelected="1" workbookViewId="0">
      <selection activeCell="B4" sqref="B4"/>
    </sheetView>
  </sheetViews>
  <sheetFormatPr defaultRowHeight="14.25"/>
  <cols>
    <col min="1" max="1" width="5.25" customWidth="1"/>
    <col min="6" max="7" width="2.875" customWidth="1"/>
    <col min="8" max="11" width="9" hidden="1" customWidth="1"/>
    <col min="12" max="12" width="2.875" customWidth="1"/>
    <col min="13" max="13" width="3.125" customWidth="1"/>
    <col min="14" max="17" width="8.125" customWidth="1"/>
    <col min="18" max="18" width="3.75" customWidth="1"/>
    <col min="19" max="19" width="3" customWidth="1"/>
    <col min="20" max="23" width="7.75" customWidth="1"/>
    <col min="24" max="24" width="3.25" customWidth="1"/>
    <col min="25" max="28" width="7.875" customWidth="1"/>
    <col min="29" max="29" width="3.875" customWidth="1"/>
    <col min="30" max="33" width="5" customWidth="1"/>
    <col min="34" max="34" width="2.875" customWidth="1"/>
  </cols>
  <sheetData>
    <row r="1" spans="2:34" ht="36">
      <c r="B1" s="67" t="s">
        <v>0</v>
      </c>
      <c r="C1" s="67"/>
      <c r="D1" s="67"/>
      <c r="E1" s="68"/>
      <c r="H1" s="67" t="s">
        <v>1</v>
      </c>
      <c r="I1" s="67"/>
      <c r="J1" s="67"/>
      <c r="K1" s="68"/>
      <c r="N1" s="67" t="s">
        <v>6</v>
      </c>
      <c r="O1" s="67"/>
      <c r="P1" s="67"/>
      <c r="Q1" s="68"/>
      <c r="T1" s="67" t="s">
        <v>14</v>
      </c>
      <c r="U1" s="67"/>
      <c r="V1" s="67"/>
      <c r="W1" s="68"/>
      <c r="Y1" s="67" t="s">
        <v>7</v>
      </c>
      <c r="Z1" s="67"/>
      <c r="AA1" s="67"/>
      <c r="AB1" s="68"/>
    </row>
    <row r="2" spans="2:34" ht="36" customHeight="1">
      <c r="B2" s="17">
        <v>0</v>
      </c>
      <c r="C2" s="17">
        <v>0</v>
      </c>
      <c r="D2" s="17">
        <v>0</v>
      </c>
      <c r="E2" s="45"/>
      <c r="H2" s="3">
        <f>-1/25</f>
        <v>-0.04</v>
      </c>
      <c r="I2" s="3">
        <f>-1/25</f>
        <v>-0.04</v>
      </c>
      <c r="J2" s="3">
        <f>-1/25</f>
        <v>-0.04</v>
      </c>
      <c r="K2" s="45"/>
      <c r="M2" s="5"/>
      <c r="N2" s="11">
        <f>MAX(N5:N8)</f>
        <v>0</v>
      </c>
      <c r="O2" s="11">
        <f t="shared" ref="O2:P2" si="0">MAX(O5:O8)</f>
        <v>0</v>
      </c>
      <c r="P2" s="11">
        <f t="shared" si="0"/>
        <v>0.9</v>
      </c>
      <c r="Q2" s="49"/>
      <c r="T2" s="18" t="str">
        <f>IF(MAX(T5:T8)=T5,$M$5,IF(MAX(T5:T8)=T6,$M$6,IF(MAX(T5:T8)=T7,$M$7,$M$8)))</f>
        <v>^</v>
      </c>
      <c r="U2" s="18" t="str">
        <f>IF(MAX($U5:$U8)=$U5,$M$5,IF(MAX($U5:$U8)=$U6,$M$6,IF(MAX($U5:$U8)=$U7,$M$7,$M$8)))</f>
        <v>^</v>
      </c>
      <c r="V2" s="18" t="str">
        <f>IF(MAX(V5:V8)=V5,$M$5,IF(MAX(V5:V8)=V6,$M$6,IF(MAX(V5:V8)=V7,$M$7,$M$8)))</f>
        <v>v</v>
      </c>
      <c r="W2" s="45"/>
      <c r="Y2" s="9">
        <f>N2-0.04</f>
        <v>-0.04</v>
      </c>
      <c r="Z2" s="9">
        <f t="shared" ref="Z2:AA2" si="1">O2-0.04</f>
        <v>-0.04</v>
      </c>
      <c r="AA2" s="9">
        <f t="shared" si="1"/>
        <v>0.86</v>
      </c>
      <c r="AB2" s="51"/>
      <c r="AD2" s="13">
        <f>ROUND(100*(Y2-B2),3)</f>
        <v>-4</v>
      </c>
      <c r="AE2" s="13">
        <f t="shared" ref="AE2:AE4" si="2">ROUND(100*(Z2-C2),3)</f>
        <v>-4</v>
      </c>
      <c r="AF2" s="13">
        <f t="shared" ref="AF2:AF4" si="3">ROUND(100*(AA2-D2),3)</f>
        <v>86</v>
      </c>
      <c r="AG2" s="13">
        <f t="shared" ref="AG2:AG4" si="4">ROUND(100*(AB2-E2),3)</f>
        <v>0</v>
      </c>
      <c r="AH2" s="14">
        <f>SUM(AD2:AG2)</f>
        <v>78</v>
      </c>
    </row>
    <row r="3" spans="2:34" ht="39" customHeight="1">
      <c r="B3" s="17">
        <v>0</v>
      </c>
      <c r="C3" s="2">
        <v>-1</v>
      </c>
      <c r="D3" s="1">
        <v>1</v>
      </c>
      <c r="E3" s="45"/>
      <c r="H3" s="3">
        <f>-1/25</f>
        <v>-0.04</v>
      </c>
      <c r="I3" s="2">
        <v>-1</v>
      </c>
      <c r="J3" s="1">
        <v>1</v>
      </c>
      <c r="K3" s="45"/>
      <c r="N3" s="11">
        <f>MAX(N9:N12)</f>
        <v>0</v>
      </c>
      <c r="O3" s="2">
        <v>-1</v>
      </c>
      <c r="P3" s="10">
        <v>1</v>
      </c>
      <c r="Q3" s="45"/>
      <c r="T3" s="18" t="str">
        <f>IF(MAX(T9:T12)=T9,$M$9,IF(MAX(T9:T12)=T10,$M$10,IF(MAX(T9:T12)=T11,$M$11,$M$12)))</f>
        <v>&lt;</v>
      </c>
      <c r="U3" s="2">
        <v>-1</v>
      </c>
      <c r="V3" s="1">
        <v>1</v>
      </c>
      <c r="W3" s="45"/>
      <c r="Y3" s="9">
        <f>N3-0.04</f>
        <v>-0.04</v>
      </c>
      <c r="Z3" s="8">
        <v>-1</v>
      </c>
      <c r="AA3" s="7">
        <v>1</v>
      </c>
      <c r="AB3" s="51"/>
      <c r="AD3" s="13">
        <f t="shared" ref="AD3:AD4" si="5">ROUND(100*(Y3-B3),3)</f>
        <v>-4</v>
      </c>
      <c r="AE3" s="13">
        <f t="shared" si="2"/>
        <v>0</v>
      </c>
      <c r="AF3" s="13">
        <f t="shared" si="3"/>
        <v>0</v>
      </c>
      <c r="AG3" s="13">
        <f t="shared" si="4"/>
        <v>0</v>
      </c>
      <c r="AH3" s="14">
        <f>SUM(AD3:AG3)</f>
        <v>-4</v>
      </c>
    </row>
    <row r="4" spans="2:34" ht="39.75" customHeight="1">
      <c r="B4" s="17">
        <v>0</v>
      </c>
      <c r="C4" s="17">
        <v>0</v>
      </c>
      <c r="D4" s="17">
        <v>0</v>
      </c>
      <c r="E4" s="48"/>
      <c r="H4" s="3">
        <f>-1/25</f>
        <v>-0.04</v>
      </c>
      <c r="I4" s="3">
        <f>-1/25</f>
        <v>-0.04</v>
      </c>
      <c r="J4" s="3">
        <f>-1/25</f>
        <v>-0.04</v>
      </c>
      <c r="K4" s="46"/>
      <c r="N4" s="11">
        <f>MAX(N13:N16)</f>
        <v>0</v>
      </c>
      <c r="O4" s="11">
        <f t="shared" ref="O4:P4" si="6">MAX(O13:O16)</f>
        <v>0</v>
      </c>
      <c r="P4" s="11">
        <f t="shared" si="6"/>
        <v>0.8</v>
      </c>
      <c r="Q4" s="50"/>
      <c r="T4" s="18" t="str">
        <f>IF(MAX(T$13:T$16)=T$13,$M$13,IF(MAX(T$13:T$16)=T$14,$M$14,IF(MAX(T$13:T$16)=T$15,$M$15,$M$16)))</f>
        <v>^</v>
      </c>
      <c r="U4" s="18" t="str">
        <f>IF(MAX(U$13:U$16)=U$13,$M$13,IF(MAX(U$13:U$16)=U$14,$M$14,IF(MAX(U$13:U$16)=U$15,$M$15,$M$16)))</f>
        <v>v</v>
      </c>
      <c r="V4" s="18" t="str">
        <f>IF(MAX(V$13:V$16)=V$13,$M$13,IF(MAX(V$13:V$16)=V$14,$M$14,IF(MAX(V$13:V$16)=V$15,$M$15,$M$16)))</f>
        <v>^</v>
      </c>
      <c r="W4" s="51"/>
      <c r="Y4" s="9">
        <f t="shared" ref="Y4:AA4" si="7">N4-0.04</f>
        <v>-0.04</v>
      </c>
      <c r="Z4" s="9">
        <f t="shared" si="7"/>
        <v>-0.04</v>
      </c>
      <c r="AA4" s="9">
        <f t="shared" si="7"/>
        <v>0.76</v>
      </c>
      <c r="AB4" s="48"/>
      <c r="AD4" s="13">
        <f t="shared" si="5"/>
        <v>-4</v>
      </c>
      <c r="AE4" s="13">
        <f t="shared" si="2"/>
        <v>-4</v>
      </c>
      <c r="AF4" s="13">
        <f t="shared" si="3"/>
        <v>76</v>
      </c>
      <c r="AG4" s="13">
        <f t="shared" si="4"/>
        <v>0</v>
      </c>
      <c r="AH4" s="14">
        <f>SUM(AD4:AG4)</f>
        <v>68</v>
      </c>
    </row>
    <row r="5" spans="2:34">
      <c r="M5" t="s">
        <v>2</v>
      </c>
      <c r="N5" s="4">
        <f>0.8*B2+0.1*B2+0.1*C2</f>
        <v>0</v>
      </c>
      <c r="O5" s="6">
        <f>0.8*C2+0.1*B2+0.1*D2</f>
        <v>0</v>
      </c>
      <c r="P5" s="4">
        <f>0.8*D2+0.1*C2+0.1*D2</f>
        <v>0</v>
      </c>
      <c r="S5" t="s">
        <v>2</v>
      </c>
      <c r="T5" s="19">
        <f>N5</f>
        <v>0</v>
      </c>
      <c r="U5" s="20">
        <f t="shared" ref="U5:U16" si="8">O5</f>
        <v>0</v>
      </c>
      <c r="V5" s="19">
        <f t="shared" ref="V5:V16" si="9">P5</f>
        <v>0</v>
      </c>
      <c r="W5" s="21"/>
      <c r="AH5" s="15">
        <f>SUM(AH2:AH4)</f>
        <v>142</v>
      </c>
    </row>
    <row r="6" spans="2:34">
      <c r="M6" t="s">
        <v>3</v>
      </c>
      <c r="N6" s="4">
        <f>0.9*B2+0.1*B2</f>
        <v>0</v>
      </c>
      <c r="O6" s="6">
        <f>0.9*B2+0.1*C2</f>
        <v>0</v>
      </c>
      <c r="P6" s="4">
        <f>0.9*C2+0.1*D2</f>
        <v>0</v>
      </c>
      <c r="S6" t="s">
        <v>3</v>
      </c>
      <c r="T6" s="19">
        <f t="shared" ref="T6:T16" si="10">N6</f>
        <v>0</v>
      </c>
      <c r="U6" s="20">
        <f t="shared" si="8"/>
        <v>0</v>
      </c>
      <c r="V6" s="19">
        <f t="shared" si="9"/>
        <v>0</v>
      </c>
      <c r="W6" s="22"/>
    </row>
    <row r="7" spans="2:34">
      <c r="M7" t="s">
        <v>4</v>
      </c>
      <c r="N7" s="4">
        <f>0.8*C2+0.1*B2+0.1*B3</f>
        <v>0</v>
      </c>
      <c r="O7" s="6">
        <f>0.8*D2+0.1*C2+0.1*C3</f>
        <v>-0.1</v>
      </c>
      <c r="P7" s="4">
        <f>0.8*D2+0.1*D3+0.1*D2</f>
        <v>0.1</v>
      </c>
      <c r="S7" t="s">
        <v>4</v>
      </c>
      <c r="T7" s="19">
        <f t="shared" si="10"/>
        <v>0</v>
      </c>
      <c r="U7" s="20">
        <f t="shared" si="8"/>
        <v>-0.1</v>
      </c>
      <c r="V7" s="19">
        <f t="shared" si="9"/>
        <v>0.1</v>
      </c>
      <c r="W7" s="22"/>
    </row>
    <row r="8" spans="2:34">
      <c r="M8" t="s">
        <v>5</v>
      </c>
      <c r="N8" s="4">
        <f>0.9*B3+0.1*C2</f>
        <v>0</v>
      </c>
      <c r="O8" s="6">
        <f>0.9*C3+0.1*D2</f>
        <v>-0.9</v>
      </c>
      <c r="P8" s="4">
        <f>0.9*D3+0.1*D2</f>
        <v>0.9</v>
      </c>
      <c r="S8" t="s">
        <v>5</v>
      </c>
      <c r="T8" s="19">
        <f t="shared" si="10"/>
        <v>0</v>
      </c>
      <c r="U8" s="20">
        <f t="shared" si="8"/>
        <v>-0.9</v>
      </c>
      <c r="V8" s="19">
        <f t="shared" si="9"/>
        <v>0.9</v>
      </c>
      <c r="W8" s="22"/>
    </row>
    <row r="9" spans="2:34">
      <c r="M9" t="s">
        <v>2</v>
      </c>
      <c r="N9" s="6">
        <f>0.8*B2+0.1*B3+0.1*C3</f>
        <v>-0.1</v>
      </c>
      <c r="P9" s="6"/>
      <c r="S9" t="s">
        <v>2</v>
      </c>
      <c r="T9" s="20">
        <f t="shared" si="10"/>
        <v>-0.1</v>
      </c>
      <c r="U9" s="23"/>
      <c r="V9" s="20"/>
      <c r="W9" s="22"/>
    </row>
    <row r="10" spans="2:34">
      <c r="M10" t="s">
        <v>3</v>
      </c>
      <c r="N10" s="6">
        <f>0.9*B3+0.1*B2</f>
        <v>0</v>
      </c>
      <c r="P10" s="6"/>
      <c r="S10" t="s">
        <v>3</v>
      </c>
      <c r="T10" s="20">
        <f t="shared" si="10"/>
        <v>0</v>
      </c>
      <c r="U10" s="23"/>
      <c r="V10" s="20"/>
      <c r="W10" s="22"/>
    </row>
    <row r="11" spans="2:34">
      <c r="M11" t="s">
        <v>4</v>
      </c>
      <c r="N11" s="6">
        <f>0.8*C3+0.1*B2+0.1*B4</f>
        <v>-0.8</v>
      </c>
      <c r="P11" s="6"/>
      <c r="S11" t="s">
        <v>4</v>
      </c>
      <c r="T11" s="20">
        <f t="shared" si="10"/>
        <v>-0.8</v>
      </c>
      <c r="U11" s="23"/>
      <c r="V11" s="20"/>
      <c r="W11" s="23"/>
    </row>
    <row r="12" spans="2:34">
      <c r="M12" t="s">
        <v>5</v>
      </c>
      <c r="N12" s="6">
        <f>0.9*B4+0.1*C3</f>
        <v>-0.1</v>
      </c>
      <c r="P12" s="6"/>
      <c r="S12" t="s">
        <v>5</v>
      </c>
      <c r="T12" s="20">
        <f t="shared" si="10"/>
        <v>-0.1</v>
      </c>
      <c r="U12" s="23"/>
      <c r="V12" s="20"/>
      <c r="W12" s="23"/>
    </row>
    <row r="13" spans="2:34">
      <c r="M13" t="s">
        <v>2</v>
      </c>
      <c r="N13" s="4">
        <f>0.8*B3+0.1*B4+0.1*C4</f>
        <v>0</v>
      </c>
      <c r="O13" s="6">
        <f>0.8*C3+0.1*B4+0.1*D4</f>
        <v>-0.8</v>
      </c>
      <c r="P13" s="4">
        <f>0.8*D3+0.1*C4+0.1*D4</f>
        <v>0.8</v>
      </c>
      <c r="Q13" s="6">
        <f>0.8*E3+0.1*D4+0.1*E4</f>
        <v>0</v>
      </c>
      <c r="S13" t="s">
        <v>2</v>
      </c>
      <c r="T13" s="19">
        <f t="shared" si="10"/>
        <v>0</v>
      </c>
      <c r="U13" s="20">
        <f t="shared" si="8"/>
        <v>-0.8</v>
      </c>
      <c r="V13" s="19">
        <f t="shared" si="9"/>
        <v>0.8</v>
      </c>
      <c r="W13" s="20">
        <f t="shared" ref="W13:W16" si="11">Q13</f>
        <v>0</v>
      </c>
    </row>
    <row r="14" spans="2:34">
      <c r="M14" t="s">
        <v>3</v>
      </c>
      <c r="N14" s="4">
        <f>0.9*B4+0.1*B3</f>
        <v>0</v>
      </c>
      <c r="O14" s="6">
        <f>0.9*B4+0.1*C3</f>
        <v>-0.1</v>
      </c>
      <c r="P14" s="4">
        <f>0.9*C4+0.1*D3</f>
        <v>0.1</v>
      </c>
      <c r="Q14" s="6">
        <f>0.9*D4+0.1*E3</f>
        <v>0</v>
      </c>
      <c r="S14" t="s">
        <v>3</v>
      </c>
      <c r="T14" s="19">
        <f t="shared" si="10"/>
        <v>0</v>
      </c>
      <c r="U14" s="20">
        <f t="shared" si="8"/>
        <v>-0.1</v>
      </c>
      <c r="V14" s="19">
        <f t="shared" si="9"/>
        <v>0.1</v>
      </c>
      <c r="W14" s="20">
        <f t="shared" si="11"/>
        <v>0</v>
      </c>
    </row>
    <row r="15" spans="2:34">
      <c r="M15" t="s">
        <v>4</v>
      </c>
      <c r="N15" s="4">
        <f>0.8*C4+0.1*B4+0.1*B3</f>
        <v>0</v>
      </c>
      <c r="O15" s="6">
        <f>0.8*D4+0.1*C4+0.1*C3</f>
        <v>-0.1</v>
      </c>
      <c r="P15" s="4">
        <f>0.8*D4+0.1*D3+0.1*D4</f>
        <v>0.1</v>
      </c>
      <c r="Q15" s="6">
        <f>0.8*E4+0.1*E4+0.1*E3</f>
        <v>0</v>
      </c>
      <c r="S15" t="s">
        <v>4</v>
      </c>
      <c r="T15" s="19">
        <f t="shared" si="10"/>
        <v>0</v>
      </c>
      <c r="U15" s="20">
        <f t="shared" si="8"/>
        <v>-0.1</v>
      </c>
      <c r="V15" s="19">
        <f t="shared" si="9"/>
        <v>0.1</v>
      </c>
      <c r="W15" s="20">
        <f t="shared" si="11"/>
        <v>0</v>
      </c>
    </row>
    <row r="16" spans="2:34">
      <c r="M16" t="s">
        <v>5</v>
      </c>
      <c r="N16" s="4">
        <f>0.9*B4+0.1*C4</f>
        <v>0</v>
      </c>
      <c r="O16" s="6">
        <f>0.9*C4+0.1*D4</f>
        <v>0</v>
      </c>
      <c r="P16" s="4">
        <f>0.9*D4+0.1*D4</f>
        <v>0</v>
      </c>
      <c r="Q16" s="6">
        <f>0.9*E4+0.1*E4</f>
        <v>0</v>
      </c>
      <c r="S16" t="s">
        <v>5</v>
      </c>
      <c r="T16" s="19">
        <f t="shared" si="10"/>
        <v>0</v>
      </c>
      <c r="U16" s="20">
        <f t="shared" si="8"/>
        <v>0</v>
      </c>
      <c r="V16" s="19">
        <f t="shared" si="9"/>
        <v>0</v>
      </c>
      <c r="W16" s="20">
        <f t="shared" si="11"/>
        <v>0</v>
      </c>
    </row>
    <row r="20" spans="1:24" ht="27.75" thickBot="1">
      <c r="A20" s="44"/>
      <c r="B20" s="69"/>
      <c r="C20" s="69"/>
      <c r="D20" s="69"/>
      <c r="E20" s="69"/>
      <c r="F20" s="44"/>
      <c r="M20" s="12"/>
      <c r="N20" s="12"/>
      <c r="O20" s="12"/>
      <c r="P20" s="12"/>
      <c r="Q20" s="12"/>
      <c r="R20" s="12"/>
      <c r="S20" s="12"/>
      <c r="T20" s="12"/>
      <c r="U20" s="12"/>
    </row>
    <row r="21" spans="1:24" ht="36" customHeight="1" thickTop="1">
      <c r="A21" s="53">
        <v>3</v>
      </c>
      <c r="B21" s="54"/>
      <c r="C21" s="55"/>
      <c r="D21" s="56"/>
      <c r="E21" s="45"/>
      <c r="F21" s="44"/>
      <c r="M21" s="12"/>
      <c r="N21" s="5"/>
      <c r="O21" s="12"/>
      <c r="P21" s="12"/>
      <c r="Q21" s="12"/>
      <c r="R21" s="12"/>
      <c r="S21" s="12"/>
      <c r="T21" s="5"/>
      <c r="U21" s="24">
        <f>AH5</f>
        <v>142</v>
      </c>
    </row>
    <row r="22" spans="1:24" ht="36" customHeight="1">
      <c r="A22" s="53">
        <v>2</v>
      </c>
      <c r="B22" s="57"/>
      <c r="C22" s="2">
        <v>-1</v>
      </c>
      <c r="D22" s="58">
        <v>1</v>
      </c>
      <c r="E22" s="45"/>
      <c r="F22" s="44"/>
      <c r="M22" s="12"/>
      <c r="N22" s="47"/>
      <c r="O22" s="47"/>
      <c r="P22" s="47"/>
      <c r="Q22" s="47"/>
      <c r="R22" s="47"/>
      <c r="S22" s="47"/>
      <c r="T22" s="47"/>
      <c r="U22" s="47"/>
    </row>
    <row r="23" spans="1:24" ht="36" customHeight="1" thickBot="1">
      <c r="A23" s="53">
        <v>1</v>
      </c>
      <c r="B23" s="59"/>
      <c r="C23" s="60"/>
      <c r="D23" s="61"/>
      <c r="E23" s="46"/>
      <c r="F23" s="44"/>
      <c r="N23" s="44"/>
      <c r="O23" s="70" t="s">
        <v>13</v>
      </c>
      <c r="P23" s="70"/>
      <c r="Q23" s="70"/>
      <c r="R23" s="70"/>
      <c r="S23" s="70"/>
      <c r="T23" s="70"/>
      <c r="U23" s="44"/>
      <c r="X23" s="16"/>
    </row>
    <row r="24" spans="1:24" ht="25.5" customHeight="1" thickTop="1" thickBot="1">
      <c r="A24" s="44"/>
      <c r="B24" s="52">
        <v>1</v>
      </c>
      <c r="C24" s="52">
        <v>2</v>
      </c>
      <c r="D24" s="52">
        <v>3</v>
      </c>
      <c r="E24" s="47"/>
      <c r="F24" s="44"/>
      <c r="N24" s="44"/>
      <c r="O24" s="43" t="s">
        <v>12</v>
      </c>
      <c r="P24" s="37" t="s">
        <v>8</v>
      </c>
      <c r="Q24" s="38" t="s">
        <v>9</v>
      </c>
      <c r="R24" s="71" t="s">
        <v>10</v>
      </c>
      <c r="S24" s="71"/>
      <c r="T24" s="39" t="s">
        <v>11</v>
      </c>
      <c r="U24" s="44"/>
    </row>
    <row r="25" spans="1:24">
      <c r="N25" s="44"/>
      <c r="O25" s="42" t="s">
        <v>8</v>
      </c>
      <c r="P25" s="33">
        <v>0.8</v>
      </c>
      <c r="Q25" s="31">
        <v>0.1</v>
      </c>
      <c r="R25" s="72">
        <v>0.1</v>
      </c>
      <c r="S25" s="72"/>
      <c r="T25" s="32">
        <v>0</v>
      </c>
      <c r="U25" s="44"/>
    </row>
    <row r="26" spans="1:24">
      <c r="N26" s="44"/>
      <c r="O26" s="40" t="s">
        <v>9</v>
      </c>
      <c r="P26" s="34">
        <v>0.1</v>
      </c>
      <c r="Q26" s="25">
        <v>0.9</v>
      </c>
      <c r="R26" s="73">
        <v>0</v>
      </c>
      <c r="S26" s="73"/>
      <c r="T26" s="26">
        <v>0</v>
      </c>
      <c r="U26" s="44"/>
    </row>
    <row r="27" spans="1:24">
      <c r="N27" s="44"/>
      <c r="O27" s="40" t="s">
        <v>10</v>
      </c>
      <c r="P27" s="35">
        <v>0.1</v>
      </c>
      <c r="Q27" s="29">
        <v>0</v>
      </c>
      <c r="R27" s="74">
        <v>0.8</v>
      </c>
      <c r="S27" s="74"/>
      <c r="T27" s="30">
        <v>0.1</v>
      </c>
      <c r="U27" s="44"/>
    </row>
    <row r="28" spans="1:24" ht="15" thickBot="1">
      <c r="N28" s="44"/>
      <c r="O28" s="41" t="s">
        <v>11</v>
      </c>
      <c r="P28" s="36">
        <v>0</v>
      </c>
      <c r="Q28" s="27">
        <v>0</v>
      </c>
      <c r="R28" s="66">
        <v>0.1</v>
      </c>
      <c r="S28" s="66"/>
      <c r="T28" s="28">
        <v>0.9</v>
      </c>
      <c r="U28" s="44"/>
    </row>
    <row r="29" spans="1:24">
      <c r="N29" s="44"/>
      <c r="O29" s="44"/>
      <c r="P29" s="44"/>
      <c r="Q29" s="44"/>
      <c r="R29" s="44"/>
      <c r="S29" s="44"/>
      <c r="T29" s="44"/>
      <c r="U29" s="44"/>
    </row>
  </sheetData>
  <mergeCells count="12">
    <mergeCell ref="R28:S28"/>
    <mergeCell ref="Y1:AB1"/>
    <mergeCell ref="B20:E20"/>
    <mergeCell ref="H1:K1"/>
    <mergeCell ref="B1:E1"/>
    <mergeCell ref="N1:Q1"/>
    <mergeCell ref="T1:W1"/>
    <mergeCell ref="O23:T23"/>
    <mergeCell ref="R24:S24"/>
    <mergeCell ref="R25:S25"/>
    <mergeCell ref="R26:S26"/>
    <mergeCell ref="R27:S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8"/>
  <sheetViews>
    <sheetView workbookViewId="0">
      <selection activeCell="E25" sqref="E25"/>
    </sheetView>
  </sheetViews>
  <sheetFormatPr defaultRowHeight="14.25"/>
  <sheetData>
    <row r="1" spans="1:8" ht="36" customHeight="1">
      <c r="A1" s="62"/>
      <c r="B1" s="64">
        <v>1</v>
      </c>
      <c r="C1" s="65"/>
      <c r="D1" s="65"/>
      <c r="E1" s="65"/>
      <c r="F1" s="63">
        <v>-1</v>
      </c>
      <c r="G1" s="65"/>
      <c r="H1" s="62"/>
    </row>
    <row r="2" spans="1:8" ht="36" customHeight="1">
      <c r="A2" s="65"/>
      <c r="B2" s="62"/>
      <c r="C2" s="65"/>
      <c r="D2" s="65"/>
      <c r="E2" s="65"/>
      <c r="F2" s="65"/>
      <c r="G2" s="65"/>
      <c r="H2" s="65"/>
    </row>
    <row r="3" spans="1:8" ht="36" customHeight="1">
      <c r="A3" s="65"/>
      <c r="B3" s="65"/>
      <c r="C3" s="65"/>
      <c r="D3" s="65"/>
      <c r="E3" s="65"/>
      <c r="F3" s="65"/>
      <c r="G3" s="65"/>
      <c r="H3" s="65"/>
    </row>
    <row r="4" spans="1:8" ht="36" customHeight="1">
      <c r="A4" s="65"/>
      <c r="B4" s="62"/>
      <c r="C4" s="62"/>
      <c r="D4" s="65"/>
      <c r="E4" s="65"/>
      <c r="F4" s="65"/>
      <c r="G4" s="65"/>
      <c r="H4" s="65"/>
    </row>
    <row r="5" spans="1:8" ht="36" customHeight="1">
      <c r="A5" s="65"/>
      <c r="B5" s="65"/>
      <c r="C5" s="65"/>
      <c r="D5" s="65"/>
      <c r="E5" s="63">
        <v>-1</v>
      </c>
      <c r="F5" s="65"/>
      <c r="G5" s="62"/>
      <c r="H5" s="65"/>
    </row>
    <row r="6" spans="1:8" ht="36" customHeight="1">
      <c r="A6" s="63">
        <v>-1</v>
      </c>
      <c r="B6" s="65"/>
      <c r="C6" s="65"/>
      <c r="D6" s="65"/>
      <c r="E6" s="65"/>
      <c r="F6" s="65"/>
      <c r="G6" s="62"/>
      <c r="H6" s="65"/>
    </row>
    <row r="7" spans="1:8" ht="36" customHeight="1">
      <c r="A7" s="65"/>
      <c r="B7" s="65"/>
      <c r="C7" s="65"/>
      <c r="D7" s="65"/>
      <c r="E7" s="62"/>
      <c r="F7" s="62"/>
      <c r="G7" s="65"/>
      <c r="H7" s="65"/>
    </row>
    <row r="8" spans="1:8" ht="36" customHeight="1">
      <c r="A8" s="62"/>
      <c r="B8" s="65"/>
      <c r="C8" s="65"/>
      <c r="D8" s="65"/>
      <c r="E8" s="65"/>
      <c r="F8" s="65"/>
      <c r="G8" s="65"/>
      <c r="H8" s="6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Jumpol</dc:creator>
  <cp:lastModifiedBy>FasterUser</cp:lastModifiedBy>
  <dcterms:created xsi:type="dcterms:W3CDTF">2011-01-29T16:57:36Z</dcterms:created>
  <dcterms:modified xsi:type="dcterms:W3CDTF">2012-02-16T15:50:11Z</dcterms:modified>
</cp:coreProperties>
</file>